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sper\Documents\Github Dashboard\"/>
    </mc:Choice>
  </mc:AlternateContent>
  <xr:revisionPtr revIDLastSave="0" documentId="13_ncr:1_{72E3D6D4-4332-43A1-999D-30670B5DC40C}" xr6:coauthVersionLast="47" xr6:coauthVersionMax="47" xr10:uidLastSave="{00000000-0000-0000-0000-000000000000}"/>
  <bookViews>
    <workbookView xWindow="-120" yWindow="-120" windowWidth="20730" windowHeight="11160" activeTab="3" xr2:uid="{CE2BF53F-82F6-43EB-B053-83DE4622F866}"/>
  </bookViews>
  <sheets>
    <sheet name="Denetim Veri Seti" sheetId="2" r:id="rId1"/>
    <sheet name="yetki limitleri" sheetId="3" r:id="rId2"/>
    <sheet name="pivot" sheetId="1" r:id="rId3"/>
    <sheet name="dashboard" sheetId="4" r:id="rId4"/>
  </sheets>
  <definedNames>
    <definedName name="DışVeri_1" localSheetId="0" hidden="1">'Denetim Veri Seti'!$A$1:$L$21</definedName>
    <definedName name="Dilimleyici_Departman">#N/A</definedName>
    <definedName name="Dilimleyici_Harcama_Türü">#N/A</definedName>
  </definedNames>
  <calcPr calcId="191029"/>
  <pivotCaches>
    <pivotCache cacheId="18" r:id="rId5"/>
    <pivotCache cacheId="2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2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C3" i="2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9DF788-E375-48DF-BF22-E2EB84AAB561}" keepAlive="1" name="Sorgu - Denetim Veri Seti" description="Çalışma kitabındaki 'Denetim Veri Seti' sorgusuna yönelik bağlantı." type="5" refreshedVersion="8" background="1" saveData="1">
    <dbPr connection="Provider=Microsoft.Mashup.OleDb.1;Data Source=$Workbook$;Location=&quot;Denetim Veri Seti&quot;;Extended Properties=&quot;&quot;" command="SELECT * FROM [Denetim Veri Seti]"/>
  </connection>
</connections>
</file>

<file path=xl/sharedStrings.xml><?xml version="1.0" encoding="utf-8"?>
<sst xmlns="http://schemas.openxmlformats.org/spreadsheetml/2006/main" count="279" uniqueCount="101">
  <si>
    <t>Islem_ID</t>
  </si>
  <si>
    <t>Tarih</t>
  </si>
  <si>
    <t>Departman</t>
  </si>
  <si>
    <t>Harcama Türü</t>
  </si>
  <si>
    <t>Tutar (TL)</t>
  </si>
  <si>
    <t>Tedarikçi</t>
  </si>
  <si>
    <t>Onaylayan</t>
  </si>
  <si>
    <t>Risk Skoru</t>
  </si>
  <si>
    <t>Durum</t>
  </si>
  <si>
    <t>TR-001</t>
  </si>
  <si>
    <t>Satinalma</t>
  </si>
  <si>
    <t>Hammadde</t>
  </si>
  <si>
    <t>X Lojistik</t>
  </si>
  <si>
    <t>Ahmet Y.</t>
  </si>
  <si>
    <t>Onaylandi</t>
  </si>
  <si>
    <t>TR-002</t>
  </si>
  <si>
    <t>Pazarlama</t>
  </si>
  <si>
    <t>Reklam</t>
  </si>
  <si>
    <t>Sosyal Medya AS</t>
  </si>
  <si>
    <t>Ayse K.</t>
  </si>
  <si>
    <t>Incelemede</t>
  </si>
  <si>
    <t>TR-003</t>
  </si>
  <si>
    <t>BT</t>
  </si>
  <si>
    <t>Donanim</t>
  </si>
  <si>
    <t>Tekno Market</t>
  </si>
  <si>
    <t>TR-004</t>
  </si>
  <si>
    <t>IK</t>
  </si>
  <si>
    <t>Egitim</t>
  </si>
  <si>
    <t>Akademi Ltd.</t>
  </si>
  <si>
    <t>Mehmet B.</t>
  </si>
  <si>
    <t>Reddedildi</t>
  </si>
  <si>
    <t>TR-005</t>
  </si>
  <si>
    <t>Satis</t>
  </si>
  <si>
    <t>Seyehat</t>
  </si>
  <si>
    <t>Otel Konaklama</t>
  </si>
  <si>
    <t>TR-006</t>
  </si>
  <si>
    <t>Uretim</t>
  </si>
  <si>
    <t>Bakim</t>
  </si>
  <si>
    <t>Makine Servis</t>
  </si>
  <si>
    <t>TR-007</t>
  </si>
  <si>
    <t>Ofis Malzemesi</t>
  </si>
  <si>
    <t>Kirtasiye Dunyasi</t>
  </si>
  <si>
    <t>TR-008</t>
  </si>
  <si>
    <t>Etkinlik</t>
  </si>
  <si>
    <t>Organizasyon Co.</t>
  </si>
  <si>
    <t>TR-009</t>
  </si>
  <si>
    <t>Yazilim Lisansi</t>
  </si>
  <si>
    <t>Global Software</t>
  </si>
  <si>
    <t>TR-010</t>
  </si>
  <si>
    <t>Temsil Agirlama</t>
  </si>
  <si>
    <t>Restoran Gurme</t>
  </si>
  <si>
    <t>TR-011</t>
  </si>
  <si>
    <t>Ilan Bedeli</t>
  </si>
  <si>
    <t>Kariyer Portali</t>
  </si>
  <si>
    <t>TR-012</t>
  </si>
  <si>
    <t>Yedek Parca</t>
  </si>
  <si>
    <t>Sanayi Ticaret</t>
  </si>
  <si>
    <t>TR-013</t>
  </si>
  <si>
    <t>Danismanlik</t>
  </si>
  <si>
    <t>Audit Pros</t>
  </si>
  <si>
    <t>TR-014</t>
  </si>
  <si>
    <t>Saha Calismasi</t>
  </si>
  <si>
    <t>Anket Ajansi</t>
  </si>
  <si>
    <t>TR-015</t>
  </si>
  <si>
    <t>Cloud Hizmeti</t>
  </si>
  <si>
    <t>Cloud Tech</t>
  </si>
  <si>
    <t>TR-016</t>
  </si>
  <si>
    <t>Akaryakit</t>
  </si>
  <si>
    <t>Petrol Istasyonu</t>
  </si>
  <si>
    <t>TR-017</t>
  </si>
  <si>
    <t>Saglik Sigortasi</t>
  </si>
  <si>
    <t>Guven Sigorta</t>
  </si>
  <si>
    <t>TR-018</t>
  </si>
  <si>
    <t>Lojistik</t>
  </si>
  <si>
    <t>Hizli Kargo</t>
  </si>
  <si>
    <t>TR-019</t>
  </si>
  <si>
    <t>Demirbas</t>
  </si>
  <si>
    <t>Mobilya Dunyasi</t>
  </si>
  <si>
    <t>TR-020</t>
  </si>
  <si>
    <t>Promosyon</t>
  </si>
  <si>
    <t>Hediye Dunyasi</t>
  </si>
  <si>
    <t>Gün</t>
  </si>
  <si>
    <t>Unvan</t>
  </si>
  <si>
    <t>Tek Seferlik Onay Limiti (TL)</t>
  </si>
  <si>
    <t>Ayşe K.</t>
  </si>
  <si>
    <t>Pazarlama Müdürü</t>
  </si>
  <si>
    <t>Operasyon Direktörü</t>
  </si>
  <si>
    <t>Satınalma Uzmanı</t>
  </si>
  <si>
    <t>Tek Seferlik Onay Limiti</t>
  </si>
  <si>
    <t>Limit Aşımı/Normal</t>
  </si>
  <si>
    <t>Satır Etiketleri</t>
  </si>
  <si>
    <t>Genel Toplam</t>
  </si>
  <si>
    <t>Toplam Tutar (TL)</t>
  </si>
  <si>
    <t>Pazar</t>
  </si>
  <si>
    <t>Cumartesi</t>
  </si>
  <si>
    <t>200.000</t>
  </si>
  <si>
    <t>Normal</t>
  </si>
  <si>
    <t>100.000</t>
  </si>
  <si>
    <t>Sütun Etiketleri</t>
  </si>
  <si>
    <t>Toplam Risk Skoru</t>
  </si>
  <si>
    <t>Say Harcama Türü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</si>
</sst>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3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3" fontId="2" fillId="0" borderId="1" xfId="0" applyNumberFormat="1" applyFont="1" applyBorder="1" applyAlignment="1">
      <alignment horizontal="left" vertical="center" indent="1" readingOrder="1"/>
    </xf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5" fillId="4" borderId="5" xfId="0" applyFont="1" applyFill="1" applyBorder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5" borderId="0" xfId="0" applyFill="1"/>
    <xf numFmtId="14" fontId="0" fillId="3" borderId="3" xfId="0" applyNumberFormat="1" applyFont="1" applyFill="1" applyBorder="1"/>
    <xf numFmtId="164" fontId="0" fillId="3" borderId="3" xfId="1" applyNumberFormat="1" applyFont="1" applyFill="1" applyBorder="1"/>
    <xf numFmtId="14" fontId="0" fillId="0" borderId="3" xfId="0" applyNumberFormat="1" applyFont="1" applyBorder="1"/>
    <xf numFmtId="164" fontId="0" fillId="0" borderId="3" xfId="1" applyNumberFormat="1" applyFont="1" applyBorder="1"/>
    <xf numFmtId="0" fontId="0" fillId="0" borderId="3" xfId="0" applyFont="1" applyFill="1" applyBorder="1"/>
    <xf numFmtId="0" fontId="0" fillId="0" borderId="0" xfId="0" applyNumberFormat="1"/>
    <xf numFmtId="0" fontId="5" fillId="4" borderId="6" xfId="0" applyFont="1" applyFill="1" applyBorder="1" applyAlignment="1">
      <alignment horizontal="left"/>
    </xf>
    <xf numFmtId="0" fontId="5" fillId="4" borderId="6" xfId="0" applyNumberFormat="1" applyFont="1" applyFill="1" applyBorder="1"/>
  </cellXfs>
  <cellStyles count="2">
    <cellStyle name="Normal" xfId="0" builtinId="0"/>
    <cellStyle name="Virgül" xfId="1" builtinId="3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[Denetim Dashboard.xlsx]pivot!PivotTable1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Tarihlere</a:t>
            </a:r>
            <a:r>
              <a:rPr lang="tr-TR" sz="1200" baseline="0"/>
              <a:t> Göre Yapılan İşlemlerin Toplam Tutarı</a:t>
            </a:r>
            <a:endParaRPr lang="en-US" sz="1200"/>
          </a:p>
        </c:rich>
      </c:tx>
      <c:layout>
        <c:manualLayout>
          <c:xMode val="edge"/>
          <c:yMode val="edge"/>
          <c:x val="2.8377172277925695E-2"/>
          <c:y val="6.6905590116335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pivot!$A$2:$A$21</c:f>
              <c:strCache>
                <c:ptCount val="19"/>
                <c:pt idx="0">
                  <c:v>1.02.2026</c:v>
                </c:pt>
                <c:pt idx="1">
                  <c:v>2.02.2026</c:v>
                </c:pt>
                <c:pt idx="2">
                  <c:v>3.02.2026</c:v>
                </c:pt>
                <c:pt idx="3">
                  <c:v>4.02.2026</c:v>
                </c:pt>
                <c:pt idx="4">
                  <c:v>5.02.2026</c:v>
                </c:pt>
                <c:pt idx="5">
                  <c:v>6.02.2026</c:v>
                </c:pt>
                <c:pt idx="6">
                  <c:v>7.02.2026</c:v>
                </c:pt>
                <c:pt idx="7">
                  <c:v>8.02.2026</c:v>
                </c:pt>
                <c:pt idx="8">
                  <c:v>9.02.2026</c:v>
                </c:pt>
                <c:pt idx="9">
                  <c:v>10.02.2026</c:v>
                </c:pt>
                <c:pt idx="10">
                  <c:v>11.02.2026</c:v>
                </c:pt>
                <c:pt idx="11">
                  <c:v>12.02.2026</c:v>
                </c:pt>
                <c:pt idx="12">
                  <c:v>13.02.2026</c:v>
                </c:pt>
                <c:pt idx="13">
                  <c:v>14.02.2026</c:v>
                </c:pt>
                <c:pt idx="14">
                  <c:v>15.02.2026</c:v>
                </c:pt>
                <c:pt idx="15">
                  <c:v>16.02.2026</c:v>
                </c:pt>
                <c:pt idx="16">
                  <c:v>17.02.2026</c:v>
                </c:pt>
                <c:pt idx="17">
                  <c:v>18.02.2026</c:v>
                </c:pt>
                <c:pt idx="18">
                  <c:v>19.02.2026</c:v>
                </c:pt>
              </c:strCache>
            </c:strRef>
          </c:cat>
          <c:val>
            <c:numRef>
              <c:f>pivot!$B$2:$B$21</c:f>
              <c:numCache>
                <c:formatCode>_-* #,##0_-;\-* #,##0_-;_-* "-"??_-;_-@_-</c:formatCode>
                <c:ptCount val="19"/>
                <c:pt idx="0">
                  <c:v>195000</c:v>
                </c:pt>
                <c:pt idx="1">
                  <c:v>8000</c:v>
                </c:pt>
                <c:pt idx="2">
                  <c:v>12000</c:v>
                </c:pt>
                <c:pt idx="3">
                  <c:v>3500</c:v>
                </c:pt>
                <c:pt idx="4">
                  <c:v>22000</c:v>
                </c:pt>
                <c:pt idx="5">
                  <c:v>1200</c:v>
                </c:pt>
                <c:pt idx="6">
                  <c:v>85000</c:v>
                </c:pt>
                <c:pt idx="7">
                  <c:v>55000</c:v>
                </c:pt>
                <c:pt idx="8">
                  <c:v>4200</c:v>
                </c:pt>
                <c:pt idx="9">
                  <c:v>7500</c:v>
                </c:pt>
                <c:pt idx="10">
                  <c:v>32000</c:v>
                </c:pt>
                <c:pt idx="11">
                  <c:v>125000</c:v>
                </c:pt>
                <c:pt idx="12">
                  <c:v>15000</c:v>
                </c:pt>
                <c:pt idx="13">
                  <c:v>28000</c:v>
                </c:pt>
                <c:pt idx="14">
                  <c:v>2100</c:v>
                </c:pt>
                <c:pt idx="15">
                  <c:v>95000</c:v>
                </c:pt>
                <c:pt idx="16">
                  <c:v>48000</c:v>
                </c:pt>
                <c:pt idx="17">
                  <c:v>62000</c:v>
                </c:pt>
                <c:pt idx="18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2-466A-AA29-5EEC26EB3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289487"/>
        <c:axId val="314312047"/>
      </c:lineChart>
      <c:catAx>
        <c:axId val="3142894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4312047"/>
        <c:crosses val="autoZero"/>
        <c:auto val="1"/>
        <c:lblAlgn val="ctr"/>
        <c:lblOffset val="100"/>
        <c:noMultiLvlLbl val="0"/>
      </c:catAx>
      <c:valAx>
        <c:axId val="314312047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31428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[Denetim Dashboard.xlsx]pivot!PivotTable2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050"/>
              <a:t>Kredi</a:t>
            </a:r>
            <a:r>
              <a:rPr lang="tr-TR" sz="1050" baseline="0"/>
              <a:t> Risk Numaralarına Göre Yapılan Harcama Payı</a:t>
            </a:r>
            <a:endParaRPr lang="en-US" sz="1050"/>
          </a:p>
        </c:rich>
      </c:tx>
      <c:layout>
        <c:manualLayout>
          <c:xMode val="edge"/>
          <c:yMode val="edge"/>
          <c:x val="1.8255477132715917E-2"/>
          <c:y val="3.4408609919252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43-430A-B663-F26843144D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43-430A-B663-F26843144D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43-430A-B663-F26843144D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43-430A-B663-F26843144D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43-430A-B663-F26843144D0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43-430A-B663-F26843144D0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43-430A-B663-F26843144D0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43-430A-B663-F26843144D0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43-430A-B663-F26843144D0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A43-430A-B663-F26843144D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pivot!$A$24:$A$34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pivot!$B$24:$B$34</c:f>
              <c:numCache>
                <c:formatCode>0.00%</c:formatCode>
                <c:ptCount val="10"/>
                <c:pt idx="0">
                  <c:v>1.4823965410747375E-3</c:v>
                </c:pt>
                <c:pt idx="1">
                  <c:v>0.19715873996294009</c:v>
                </c:pt>
                <c:pt idx="2">
                  <c:v>5.0030883261272391E-2</c:v>
                </c:pt>
                <c:pt idx="3">
                  <c:v>6.7943174799258807E-2</c:v>
                </c:pt>
                <c:pt idx="4">
                  <c:v>9.1661519456454607E-2</c:v>
                </c:pt>
                <c:pt idx="5">
                  <c:v>6.7943174799258807E-2</c:v>
                </c:pt>
                <c:pt idx="6">
                  <c:v>0.17294626312538605</c:v>
                </c:pt>
                <c:pt idx="7">
                  <c:v>0.18159357628165534</c:v>
                </c:pt>
                <c:pt idx="8">
                  <c:v>1.4823965410747375E-2</c:v>
                </c:pt>
                <c:pt idx="9">
                  <c:v>0.15441630636195183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A43-430A-B663-F26843144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8436208"/>
        <c:axId val="648444848"/>
      </c:barChart>
      <c:catAx>
        <c:axId val="64843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48444848"/>
        <c:auto val="1"/>
        <c:lblAlgn val="ctr"/>
        <c:lblOffset val="100"/>
        <c:noMultiLvlLbl val="0"/>
      </c:catAx>
      <c:valAx>
        <c:axId val="64844484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648436208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[Denetim Dashboard.xlsx]pivot!PivotTable4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Haftasonu Yapılan Şüpheli Sayılabilecek İşlemlerin Tutarı</a:t>
            </a:r>
          </a:p>
        </c:rich>
      </c:tx>
      <c:layout>
        <c:manualLayout>
          <c:xMode val="edge"/>
          <c:yMode val="edge"/>
          <c:x val="1.4249999999999987E-2"/>
          <c:y val="4.166666666666666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pivot!$B$36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pivot!$A$37:$A$47</c:f>
              <c:multiLvlStrCache>
                <c:ptCount val="5"/>
                <c:lvl>
                  <c:pt idx="0">
                    <c:v>Pazar</c:v>
                  </c:pt>
                  <c:pt idx="1">
                    <c:v>Cumartesi</c:v>
                  </c:pt>
                  <c:pt idx="2">
                    <c:v>Pazar</c:v>
                  </c:pt>
                  <c:pt idx="3">
                    <c:v>Cumartesi</c:v>
                  </c:pt>
                  <c:pt idx="4">
                    <c:v>Pazar</c:v>
                  </c:pt>
                </c:lvl>
                <c:lvl>
                  <c:pt idx="0">
                    <c:v>1.02.2026</c:v>
                  </c:pt>
                  <c:pt idx="1">
                    <c:v>7.02.2026</c:v>
                  </c:pt>
                  <c:pt idx="2">
                    <c:v>8.02.2026</c:v>
                  </c:pt>
                  <c:pt idx="3">
                    <c:v>14.02.2026</c:v>
                  </c:pt>
                  <c:pt idx="4">
                    <c:v>15.02.2026</c:v>
                  </c:pt>
                </c:lvl>
              </c:multiLvlStrCache>
            </c:multiLvlStrRef>
          </c:cat>
          <c:val>
            <c:numRef>
              <c:f>pivot!$B$37:$B$47</c:f>
              <c:numCache>
                <c:formatCode>_-* #,##0_-;\-* #,##0_-;_-* "-"??_-;_-@_-</c:formatCode>
                <c:ptCount val="5"/>
                <c:pt idx="0">
                  <c:v>195000</c:v>
                </c:pt>
                <c:pt idx="1">
                  <c:v>85000</c:v>
                </c:pt>
                <c:pt idx="2">
                  <c:v>55000</c:v>
                </c:pt>
                <c:pt idx="3">
                  <c:v>28000</c:v>
                </c:pt>
                <c:pt idx="4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26-408C-974F-A6C6C42C25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4317327"/>
        <c:axId val="314289487"/>
      </c:barChart>
      <c:catAx>
        <c:axId val="31431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14289487"/>
        <c:crosses val="autoZero"/>
        <c:auto val="1"/>
        <c:lblAlgn val="ctr"/>
        <c:lblOffset val="100"/>
        <c:noMultiLvlLbl val="0"/>
      </c:catAx>
      <c:valAx>
        <c:axId val="314289487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31431732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[Denetim Dashboard.xlsx]pivot!PivotTable5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Harcama</a:t>
            </a:r>
            <a:r>
              <a:rPr lang="tr-TR" baseline="0"/>
              <a:t> Türlerinin Toplam Tutarı</a:t>
            </a:r>
            <a:endParaRPr lang="en-US"/>
          </a:p>
        </c:rich>
      </c:tx>
      <c:layout>
        <c:manualLayout>
          <c:xMode val="edge"/>
          <c:yMode val="edge"/>
          <c:x val="2.906933508311462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pivot!$B$49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pivot!$A$50:$A$70</c:f>
              <c:strCache>
                <c:ptCount val="20"/>
                <c:pt idx="0">
                  <c:v>Hammadde</c:v>
                </c:pt>
                <c:pt idx="1">
                  <c:v>Danismanlik</c:v>
                </c:pt>
                <c:pt idx="2">
                  <c:v>Saglik Sigortasi</c:v>
                </c:pt>
                <c:pt idx="3">
                  <c:v>Etkinlik</c:v>
                </c:pt>
                <c:pt idx="4">
                  <c:v>Demirbas</c:v>
                </c:pt>
                <c:pt idx="5">
                  <c:v>Yazilim Lisansi</c:v>
                </c:pt>
                <c:pt idx="6">
                  <c:v>Lojistik</c:v>
                </c:pt>
                <c:pt idx="7">
                  <c:v>Reklam</c:v>
                </c:pt>
                <c:pt idx="8">
                  <c:v>Yedek Parca</c:v>
                </c:pt>
                <c:pt idx="9">
                  <c:v>Cloud Hizmeti</c:v>
                </c:pt>
                <c:pt idx="10">
                  <c:v>Bakim</c:v>
                </c:pt>
                <c:pt idx="11">
                  <c:v>Saha Calismasi</c:v>
                </c:pt>
                <c:pt idx="12">
                  <c:v>Egitim</c:v>
                </c:pt>
                <c:pt idx="13">
                  <c:v>Promosyon</c:v>
                </c:pt>
                <c:pt idx="14">
                  <c:v>Donanim</c:v>
                </c:pt>
                <c:pt idx="15">
                  <c:v>Ilan Bedeli</c:v>
                </c:pt>
                <c:pt idx="16">
                  <c:v>Temsil Agirlama</c:v>
                </c:pt>
                <c:pt idx="17">
                  <c:v>Seyehat</c:v>
                </c:pt>
                <c:pt idx="18">
                  <c:v>Akaryakit</c:v>
                </c:pt>
                <c:pt idx="19">
                  <c:v>Ofis Malzemesi</c:v>
                </c:pt>
              </c:strCache>
            </c:strRef>
          </c:cat>
          <c:val>
            <c:numRef>
              <c:f>pivot!$B$50:$B$70</c:f>
              <c:numCache>
                <c:formatCode>_-* #,##0_-;\-* #,##0_-;_-* "-"??_-;_-@_-</c:formatCode>
                <c:ptCount val="20"/>
                <c:pt idx="0">
                  <c:v>150000</c:v>
                </c:pt>
                <c:pt idx="1">
                  <c:v>125000</c:v>
                </c:pt>
                <c:pt idx="2">
                  <c:v>95000</c:v>
                </c:pt>
                <c:pt idx="3">
                  <c:v>85000</c:v>
                </c:pt>
                <c:pt idx="4">
                  <c:v>62000</c:v>
                </c:pt>
                <c:pt idx="5">
                  <c:v>55000</c:v>
                </c:pt>
                <c:pt idx="6">
                  <c:v>48000</c:v>
                </c:pt>
                <c:pt idx="7">
                  <c:v>45000</c:v>
                </c:pt>
                <c:pt idx="8">
                  <c:v>32000</c:v>
                </c:pt>
                <c:pt idx="9">
                  <c:v>28000</c:v>
                </c:pt>
                <c:pt idx="10">
                  <c:v>22000</c:v>
                </c:pt>
                <c:pt idx="11">
                  <c:v>15000</c:v>
                </c:pt>
                <c:pt idx="12">
                  <c:v>12000</c:v>
                </c:pt>
                <c:pt idx="13">
                  <c:v>9000</c:v>
                </c:pt>
                <c:pt idx="14">
                  <c:v>8000</c:v>
                </c:pt>
                <c:pt idx="15">
                  <c:v>7500</c:v>
                </c:pt>
                <c:pt idx="16">
                  <c:v>4200</c:v>
                </c:pt>
                <c:pt idx="17">
                  <c:v>3500</c:v>
                </c:pt>
                <c:pt idx="18">
                  <c:v>2100</c:v>
                </c:pt>
                <c:pt idx="1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A-473A-B4BC-6D735103FC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8406928"/>
        <c:axId val="648395408"/>
      </c:barChart>
      <c:catAx>
        <c:axId val="64840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48395408"/>
        <c:crosses val="autoZero"/>
        <c:auto val="1"/>
        <c:lblAlgn val="ctr"/>
        <c:lblOffset val="100"/>
        <c:noMultiLvlLbl val="0"/>
      </c:catAx>
      <c:valAx>
        <c:axId val="648395408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64840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[Denetim Dashboard.xlsx]pivot!PivotTable6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Tedarikçilerden</a:t>
            </a:r>
            <a:r>
              <a:rPr lang="tr-TR" baseline="0"/>
              <a:t> Yapılan Harcama Sayısı</a:t>
            </a:r>
            <a:endParaRPr lang="en-US"/>
          </a:p>
        </c:rich>
      </c:tx>
      <c:layout>
        <c:manualLayout>
          <c:xMode val="edge"/>
          <c:yMode val="edge"/>
          <c:x val="1.4249999999999987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pivot!$B$72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pivot!$A$73:$A$93</c:f>
              <c:strCache>
                <c:ptCount val="20"/>
                <c:pt idx="0">
                  <c:v>Akademi Ltd.</c:v>
                </c:pt>
                <c:pt idx="1">
                  <c:v>Anket Ajansi</c:v>
                </c:pt>
                <c:pt idx="2">
                  <c:v>Audit Pros</c:v>
                </c:pt>
                <c:pt idx="3">
                  <c:v>Cloud Tech</c:v>
                </c:pt>
                <c:pt idx="4">
                  <c:v>Global Software</c:v>
                </c:pt>
                <c:pt idx="5">
                  <c:v>Guven Sigorta</c:v>
                </c:pt>
                <c:pt idx="6">
                  <c:v>Hediye Dunyasi</c:v>
                </c:pt>
                <c:pt idx="7">
                  <c:v>Hizli Kargo</c:v>
                </c:pt>
                <c:pt idx="8">
                  <c:v>Kariyer Portali</c:v>
                </c:pt>
                <c:pt idx="9">
                  <c:v>Kirtasiye Dunyasi</c:v>
                </c:pt>
                <c:pt idx="10">
                  <c:v>Makine Servis</c:v>
                </c:pt>
                <c:pt idx="11">
                  <c:v>Mobilya Dunyasi</c:v>
                </c:pt>
                <c:pt idx="12">
                  <c:v>Organizasyon Co.</c:v>
                </c:pt>
                <c:pt idx="13">
                  <c:v>Otel Konaklama</c:v>
                </c:pt>
                <c:pt idx="14">
                  <c:v>Petrol Istasyonu</c:v>
                </c:pt>
                <c:pt idx="15">
                  <c:v>Restoran Gurme</c:v>
                </c:pt>
                <c:pt idx="16">
                  <c:v>Sanayi Ticaret</c:v>
                </c:pt>
                <c:pt idx="17">
                  <c:v>Sosyal Medya AS</c:v>
                </c:pt>
                <c:pt idx="18">
                  <c:v>Tekno Market</c:v>
                </c:pt>
                <c:pt idx="19">
                  <c:v>X Lojistik</c:v>
                </c:pt>
              </c:strCache>
            </c:strRef>
          </c:cat>
          <c:val>
            <c:numRef>
              <c:f>pivot!$B$73:$B$93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0-4950-89FF-F129F39CBB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4317327"/>
        <c:axId val="314289487"/>
      </c:barChart>
      <c:catAx>
        <c:axId val="31431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14289487"/>
        <c:crosses val="autoZero"/>
        <c:auto val="1"/>
        <c:lblAlgn val="ctr"/>
        <c:lblOffset val="100"/>
        <c:noMultiLvlLbl val="0"/>
      </c:catAx>
      <c:valAx>
        <c:axId val="314289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431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[Denetim Dashboard.xlsx]pivot!PivotTable11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Haftasonu</a:t>
            </a:r>
            <a:r>
              <a:rPr lang="tr-TR" baseline="0"/>
              <a:t> Yapılan İşlemlerin Risk Skorları</a:t>
            </a:r>
            <a:endParaRPr lang="tr-TR"/>
          </a:p>
        </c:rich>
      </c:tx>
      <c:layout>
        <c:manualLayout>
          <c:xMode val="edge"/>
          <c:yMode val="edge"/>
          <c:x val="2.177077865266841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4890145549988068"/>
          <c:w val="0.78941207349081366"/>
          <c:h val="0.64432159521726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pivot!$B$95:$B$96</c:f>
              <c:strCache>
                <c:ptCount val="1"/>
                <c:pt idx="0">
                  <c:v>Ahmet Y.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pivot!$A$97:$A$107</c:f>
              <c:multiLvlStrCache>
                <c:ptCount val="5"/>
                <c:lvl>
                  <c:pt idx="0">
                    <c:v>Pazar</c:v>
                  </c:pt>
                  <c:pt idx="1">
                    <c:v>Cumartesi</c:v>
                  </c:pt>
                  <c:pt idx="2">
                    <c:v>Pazar</c:v>
                  </c:pt>
                  <c:pt idx="3">
                    <c:v>Cumartesi</c:v>
                  </c:pt>
                  <c:pt idx="4">
                    <c:v>Pazar</c:v>
                  </c:pt>
                </c:lvl>
                <c:lvl>
                  <c:pt idx="0">
                    <c:v>1.02.2026</c:v>
                  </c:pt>
                  <c:pt idx="1">
                    <c:v>7.02.2026</c:v>
                  </c:pt>
                  <c:pt idx="2">
                    <c:v>8.02.2026</c:v>
                  </c:pt>
                  <c:pt idx="3">
                    <c:v>14.02.2026</c:v>
                  </c:pt>
                  <c:pt idx="4">
                    <c:v>15.02.2026</c:v>
                  </c:pt>
                </c:lvl>
              </c:multiLvlStrCache>
            </c:multiLvlStrRef>
          </c:cat>
          <c:val>
            <c:numRef>
              <c:f>pivot!$B$97:$B$107</c:f>
              <c:numCache>
                <c:formatCode>General</c:formatCode>
                <c:ptCount val="5"/>
                <c:pt idx="0">
                  <c:v>2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A-4025-B8B4-738D063E052D}"/>
            </c:ext>
          </c:extLst>
        </c:ser>
        <c:ser>
          <c:idx val="1"/>
          <c:order val="1"/>
          <c:tx>
            <c:strRef>
              <c:f>pivot!$C$95:$C$96</c:f>
              <c:strCache>
                <c:ptCount val="1"/>
                <c:pt idx="0">
                  <c:v>Ayse K.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pivot!$A$97:$A$107</c:f>
              <c:multiLvlStrCache>
                <c:ptCount val="5"/>
                <c:lvl>
                  <c:pt idx="0">
                    <c:v>Pazar</c:v>
                  </c:pt>
                  <c:pt idx="1">
                    <c:v>Cumartesi</c:v>
                  </c:pt>
                  <c:pt idx="2">
                    <c:v>Pazar</c:v>
                  </c:pt>
                  <c:pt idx="3">
                    <c:v>Cumartesi</c:v>
                  </c:pt>
                  <c:pt idx="4">
                    <c:v>Pazar</c:v>
                  </c:pt>
                </c:lvl>
                <c:lvl>
                  <c:pt idx="0">
                    <c:v>1.02.2026</c:v>
                  </c:pt>
                  <c:pt idx="1">
                    <c:v>7.02.2026</c:v>
                  </c:pt>
                  <c:pt idx="2">
                    <c:v>8.02.2026</c:v>
                  </c:pt>
                  <c:pt idx="3">
                    <c:v>14.02.2026</c:v>
                  </c:pt>
                  <c:pt idx="4">
                    <c:v>15.02.2026</c:v>
                  </c:pt>
                </c:lvl>
              </c:multiLvlStrCache>
            </c:multiLvlStrRef>
          </c:cat>
          <c:val>
            <c:numRef>
              <c:f>pivot!$C$97:$C$107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FA-4025-B8B4-738D063E05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5153600"/>
        <c:axId val="605143520"/>
      </c:barChart>
      <c:catAx>
        <c:axId val="6051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05143520"/>
        <c:crosses val="autoZero"/>
        <c:auto val="1"/>
        <c:lblAlgn val="ctr"/>
        <c:lblOffset val="100"/>
        <c:noMultiLvlLbl val="0"/>
      </c:catAx>
      <c:valAx>
        <c:axId val="605143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515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0</xdr:row>
      <xdr:rowOff>38100</xdr:rowOff>
    </xdr:from>
    <xdr:to>
      <xdr:col>16</xdr:col>
      <xdr:colOff>581025</xdr:colOff>
      <xdr:row>2</xdr:row>
      <xdr:rowOff>47625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62EC2989-8961-6088-041B-ADC9EDB07D2A}"/>
            </a:ext>
          </a:extLst>
        </xdr:cNvPr>
        <xdr:cNvSpPr/>
      </xdr:nvSpPr>
      <xdr:spPr>
        <a:xfrm>
          <a:off x="2266950" y="38100"/>
          <a:ext cx="8067675" cy="390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/>
            <a:t>Denetim Raporu</a:t>
          </a:r>
        </a:p>
      </xdr:txBody>
    </xdr:sp>
    <xdr:clientData/>
  </xdr:twoCellAnchor>
  <xdr:twoCellAnchor>
    <xdr:from>
      <xdr:col>5</xdr:col>
      <xdr:colOff>76200</xdr:colOff>
      <xdr:row>2</xdr:row>
      <xdr:rowOff>114300</xdr:rowOff>
    </xdr:from>
    <xdr:to>
      <xdr:col>10</xdr:col>
      <xdr:colOff>523875</xdr:colOff>
      <xdr:row>7</xdr:row>
      <xdr:rowOff>57150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E636AB4F-DED9-44D4-A1C7-432F3E44E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3</xdr:row>
      <xdr:rowOff>9525</xdr:rowOff>
    </xdr:from>
    <xdr:to>
      <xdr:col>14</xdr:col>
      <xdr:colOff>38100</xdr:colOff>
      <xdr:row>7</xdr:row>
      <xdr:rowOff>0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76E89B46-5208-528C-0B33-2AB217D76F37}"/>
            </a:ext>
          </a:extLst>
        </xdr:cNvPr>
        <xdr:cNvSpPr/>
      </xdr:nvSpPr>
      <xdr:spPr>
        <a:xfrm>
          <a:off x="7029450" y="581025"/>
          <a:ext cx="154305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800"/>
            <a:t>Toplam Tutar</a:t>
          </a:r>
        </a:p>
        <a:p>
          <a:pPr algn="ctr"/>
          <a:r>
            <a:rPr lang="tr-TR" sz="1800"/>
            <a:t>809.500 TL</a:t>
          </a:r>
        </a:p>
      </xdr:txBody>
    </xdr:sp>
    <xdr:clientData/>
  </xdr:twoCellAnchor>
  <xdr:twoCellAnchor>
    <xdr:from>
      <xdr:col>14</xdr:col>
      <xdr:colOff>419100</xdr:colOff>
      <xdr:row>3</xdr:row>
      <xdr:rowOff>19050</xdr:rowOff>
    </xdr:from>
    <xdr:to>
      <xdr:col>17</xdr:col>
      <xdr:colOff>133350</xdr:colOff>
      <xdr:row>7</xdr:row>
      <xdr:rowOff>9525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2D67CA44-33C3-44E5-B328-B17924A49D00}"/>
            </a:ext>
          </a:extLst>
        </xdr:cNvPr>
        <xdr:cNvSpPr/>
      </xdr:nvSpPr>
      <xdr:spPr>
        <a:xfrm>
          <a:off x="8953500" y="590550"/>
          <a:ext cx="154305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/>
            <a:t>Limit</a:t>
          </a:r>
          <a:r>
            <a:rPr lang="tr-TR" sz="1200" baseline="0"/>
            <a:t> Aşımı Yapılan İşlem Sayısı</a:t>
          </a:r>
        </a:p>
        <a:p>
          <a:pPr algn="ctr"/>
          <a:r>
            <a:rPr lang="tr-TR" sz="1200" baseline="0"/>
            <a:t>0</a:t>
          </a:r>
          <a:endParaRPr lang="tr-TR" sz="1200"/>
        </a:p>
      </xdr:txBody>
    </xdr:sp>
    <xdr:clientData/>
  </xdr:twoCellAnchor>
  <xdr:twoCellAnchor>
    <xdr:from>
      <xdr:col>17</xdr:col>
      <xdr:colOff>523875</xdr:colOff>
      <xdr:row>3</xdr:row>
      <xdr:rowOff>28575</xdr:rowOff>
    </xdr:from>
    <xdr:to>
      <xdr:col>20</xdr:col>
      <xdr:colOff>238125</xdr:colOff>
      <xdr:row>7</xdr:row>
      <xdr:rowOff>19050</xdr:rowOff>
    </xdr:to>
    <xdr:sp macro="" textlink="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1FE2ED9E-B869-4955-85B2-F80C1F6363E1}"/>
            </a:ext>
          </a:extLst>
        </xdr:cNvPr>
        <xdr:cNvSpPr/>
      </xdr:nvSpPr>
      <xdr:spPr>
        <a:xfrm>
          <a:off x="10887075" y="600075"/>
          <a:ext cx="154305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/>
            <a:t>19</a:t>
          </a:r>
          <a:r>
            <a:rPr lang="tr-TR" sz="1200" baseline="0"/>
            <a:t> Günde Toplam İşlem Sayısı </a:t>
          </a:r>
        </a:p>
        <a:p>
          <a:pPr algn="ctr"/>
          <a:r>
            <a:rPr lang="tr-TR" sz="1200" baseline="0"/>
            <a:t>20</a:t>
          </a:r>
          <a:endParaRPr lang="tr-TR" sz="1200"/>
        </a:p>
      </xdr:txBody>
    </xdr:sp>
    <xdr:clientData/>
  </xdr:twoCellAnchor>
  <xdr:twoCellAnchor>
    <xdr:from>
      <xdr:col>12</xdr:col>
      <xdr:colOff>381000</xdr:colOff>
      <xdr:row>7</xdr:row>
      <xdr:rowOff>142875</xdr:rowOff>
    </xdr:from>
    <xdr:to>
      <xdr:col>20</xdr:col>
      <xdr:colOff>276225</xdr:colOff>
      <xdr:row>19</xdr:row>
      <xdr:rowOff>9525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12FD341B-6E9E-4760-B791-00A52BECC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</xdr:colOff>
      <xdr:row>19</xdr:row>
      <xdr:rowOff>66675</xdr:rowOff>
    </xdr:from>
    <xdr:to>
      <xdr:col>12</xdr:col>
      <xdr:colOff>438150</xdr:colOff>
      <xdr:row>30</xdr:row>
      <xdr:rowOff>104775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567595FB-A4E2-41D2-B4C5-4F5E63E61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</xdr:row>
      <xdr:rowOff>104774</xdr:rowOff>
    </xdr:from>
    <xdr:to>
      <xdr:col>5</xdr:col>
      <xdr:colOff>47625</xdr:colOff>
      <xdr:row>30</xdr:row>
      <xdr:rowOff>133349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CEF50B7E-0E47-4CEB-A622-DCA17F5EE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285750</xdr:colOff>
      <xdr:row>5</xdr:row>
      <xdr:rowOff>9525</xdr:rowOff>
    </xdr:from>
    <xdr:to>
      <xdr:col>5</xdr:col>
      <xdr:colOff>38550</xdr:colOff>
      <xdr:row>12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Departman">
              <a:extLst>
                <a:ext uri="{FF2B5EF4-FFF2-40B4-BE49-F238E27FC236}">
                  <a16:creationId xmlns:a16="http://schemas.microsoft.com/office/drawing/2014/main" id="{6D1C17CC-7085-D549-AD05-C6D0B5C6E3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0" y="962025"/>
              <a:ext cx="97200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5</xdr:col>
      <xdr:colOff>66674</xdr:colOff>
      <xdr:row>7</xdr:row>
      <xdr:rowOff>85724</xdr:rowOff>
    </xdr:from>
    <xdr:to>
      <xdr:col>12</xdr:col>
      <xdr:colOff>323850</xdr:colOff>
      <xdr:row>19</xdr:row>
      <xdr:rowOff>19049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88914C7E-91BA-46E6-B0AF-5EDBFA4A9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485775</xdr:colOff>
      <xdr:row>19</xdr:row>
      <xdr:rowOff>66675</xdr:rowOff>
    </xdr:from>
    <xdr:to>
      <xdr:col>20</xdr:col>
      <xdr:colOff>238125</xdr:colOff>
      <xdr:row>30</xdr:row>
      <xdr:rowOff>95250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2DF4A6BB-548E-4BB4-9892-143565AD3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104775</xdr:colOff>
      <xdr:row>20</xdr:row>
      <xdr:rowOff>171450</xdr:rowOff>
    </xdr:from>
    <xdr:to>
      <xdr:col>12</xdr:col>
      <xdr:colOff>380476</xdr:colOff>
      <xdr:row>23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Harcama Türü">
              <a:extLst>
                <a:ext uri="{FF2B5EF4-FFF2-40B4-BE49-F238E27FC236}">
                  <a16:creationId xmlns:a16="http://schemas.microsoft.com/office/drawing/2014/main" id="{9F2C36EE-978A-F2BB-F404-AA18C6AB88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rcama Türü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1175" y="3981450"/>
              <a:ext cx="2104501" cy="561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6076.710623842591" createdVersion="8" refreshedVersion="8" minRefreshableVersion="3" recordCount="20" xr:uid="{EB145269-6007-4200-A83C-E99D934F221C}">
  <cacheSource type="worksheet">
    <worksheetSource name="Denetim_Veri_Seti"/>
  </cacheSource>
  <cacheFields count="12">
    <cacheField name="Islem_ID" numFmtId="0">
      <sharedItems/>
    </cacheField>
    <cacheField name="Tarih" numFmtId="14">
      <sharedItems containsSemiMixedTypes="0" containsNonDate="0" containsDate="1" containsString="0" minDate="2026-02-01T00:00:00" maxDate="2026-02-20T00:00:00" count="19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</sharedItems>
    </cacheField>
    <cacheField name="Gün" numFmtId="14">
      <sharedItems count="7">
        <s v="Pazar"/>
        <s v="Pazartesi"/>
        <s v="Salı"/>
        <s v="Çarşamba"/>
        <s v="Perşembe"/>
        <s v="Cuma"/>
        <s v="Cumartesi"/>
      </sharedItems>
    </cacheField>
    <cacheField name="Departman" numFmtId="0">
      <sharedItems count="6">
        <s v="Satinalma"/>
        <s v="Pazarlama"/>
        <s v="BT"/>
        <s v="IK"/>
        <s v="Satis"/>
        <s v="Uretim"/>
      </sharedItems>
    </cacheField>
    <cacheField name="Harcama Türü" numFmtId="0">
      <sharedItems count="20">
        <s v="Hammadde"/>
        <s v="Reklam"/>
        <s v="Donanim"/>
        <s v="Egitim"/>
        <s v="Seyehat"/>
        <s v="Bakim"/>
        <s v="Ofis Malzemesi"/>
        <s v="Etkinlik"/>
        <s v="Yazilim Lisansi"/>
        <s v="Temsil Agirlama"/>
        <s v="Ilan Bedeli"/>
        <s v="Yedek Parca"/>
        <s v="Danismanlik"/>
        <s v="Saha Calismasi"/>
        <s v="Cloud Hizmeti"/>
        <s v="Akaryakit"/>
        <s v="Saglik Sigortasi"/>
        <s v="Lojistik"/>
        <s v="Demirbas"/>
        <s v="Promosyon"/>
      </sharedItems>
    </cacheField>
    <cacheField name="Tutar (TL)" numFmtId="164">
      <sharedItems containsSemiMixedTypes="0" containsString="0" containsNumber="1" containsInteger="1" minValue="1200" maxValue="150000"/>
    </cacheField>
    <cacheField name="Tedarikçi" numFmtId="0">
      <sharedItems count="20">
        <s v="X Lojistik"/>
        <s v="Sosyal Medya AS"/>
        <s v="Tekno Market"/>
        <s v="Akademi Ltd."/>
        <s v="Otel Konaklama"/>
        <s v="Makine Servis"/>
        <s v="Kirtasiye Dunyasi"/>
        <s v="Organizasyon Co."/>
        <s v="Global Software"/>
        <s v="Restoran Gurme"/>
        <s v="Kariyer Portali"/>
        <s v="Sanayi Ticaret"/>
        <s v="Audit Pros"/>
        <s v="Anket Ajansi"/>
        <s v="Cloud Tech"/>
        <s v="Petrol Istasyonu"/>
        <s v="Guven Sigorta"/>
        <s v="Hizli Kargo"/>
        <s v="Mobilya Dunyasi"/>
        <s v="Hediye Dunyasi"/>
      </sharedItems>
    </cacheField>
    <cacheField name="Onaylayan" numFmtId="0">
      <sharedItems count="3">
        <s v="Ahmet Y."/>
        <s v="Ayse K."/>
        <s v="Mehmet B."/>
      </sharedItems>
    </cacheField>
    <cacheField name="Tek Seferlik Onay Limiti" numFmtId="0">
      <sharedItems/>
    </cacheField>
    <cacheField name="Limit Aşımı/Normal" numFmtId="0">
      <sharedItems/>
    </cacheField>
    <cacheField name="Risk Skoru" numFmtId="0">
      <sharedItems containsSemiMixedTypes="0" containsString="0" containsNumber="1" containsInteger="1" minValue="1" maxValue="10" count="10">
        <n v="2"/>
        <n v="7"/>
        <n v="4"/>
        <n v="9"/>
        <n v="3"/>
        <n v="5"/>
        <n v="1"/>
        <n v="8"/>
        <n v="6"/>
        <n v="10"/>
      </sharedItems>
    </cacheField>
    <cacheField name="Durum" numFmtId="0">
      <sharedItems/>
    </cacheField>
  </cacheFields>
  <extLst>
    <ext xmlns:x14="http://schemas.microsoft.com/office/spreadsheetml/2009/9/main" uri="{725AE2AE-9491-48be-B2B4-4EB974FC3084}">
      <x14:pivotCacheDefinition pivotCacheId="19135199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6076.73168611111" createdVersion="8" refreshedVersion="8" minRefreshableVersion="3" recordCount="6" xr:uid="{41AE4391-B2BA-4B49-8A2B-FDB81119E71A}">
  <cacheSource type="worksheet">
    <worksheetSource ref="A7:L13" sheet="yetki limitleri"/>
  </cacheSource>
  <cacheFields count="12">
    <cacheField name="Islem_ID" numFmtId="0">
      <sharedItems/>
    </cacheField>
    <cacheField name="Tarih" numFmtId="14">
      <sharedItems containsSemiMixedTypes="0" containsNonDate="0" containsDate="1" containsString="0" minDate="2026-02-01T00:00:00" maxDate="2026-02-16T00:00:00" count="5">
        <d v="2026-02-01T00:00:00"/>
        <d v="2026-02-07T00:00:00"/>
        <d v="2026-02-08T00:00:00"/>
        <d v="2026-02-14T00:00:00"/>
        <d v="2026-02-15T00:00:00"/>
      </sharedItems>
    </cacheField>
    <cacheField name="Gün" numFmtId="14">
      <sharedItems count="2">
        <s v="Pazar"/>
        <s v="Cumartesi"/>
      </sharedItems>
    </cacheField>
    <cacheField name="Departman" numFmtId="0">
      <sharedItems/>
    </cacheField>
    <cacheField name="Harcama Türü" numFmtId="0">
      <sharedItems count="6">
        <s v="Hammadde"/>
        <s v="Reklam"/>
        <s v="Etkinlik"/>
        <s v="Yazilim Lisansi"/>
        <s v="Cloud Hizmeti"/>
        <s v="Akaryakit"/>
      </sharedItems>
    </cacheField>
    <cacheField name="Tutar (TL)" numFmtId="164">
      <sharedItems containsSemiMixedTypes="0" containsString="0" containsNumber="1" containsInteger="1" minValue="2100" maxValue="150000"/>
    </cacheField>
    <cacheField name="Tedarikçi" numFmtId="0">
      <sharedItems/>
    </cacheField>
    <cacheField name="Onaylayan" numFmtId="0">
      <sharedItems count="2">
        <s v="Ahmet Y."/>
        <s v="Ayse K."/>
      </sharedItems>
    </cacheField>
    <cacheField name="Tek Seferlik Onay Limiti" numFmtId="0">
      <sharedItems/>
    </cacheField>
    <cacheField name="Limit Aşımı/Normal" numFmtId="0">
      <sharedItems/>
    </cacheField>
    <cacheField name="Risk Skoru" numFmtId="0">
      <sharedItems containsSemiMixedTypes="0" containsString="0" containsNumber="1" containsInteger="1" minValue="2" maxValue="8"/>
    </cacheField>
    <cacheField name="Durum" numFmtId="0">
      <sharedItems/>
    </cacheField>
  </cacheFields>
  <extLst>
    <ext xmlns:x14="http://schemas.microsoft.com/office/spreadsheetml/2009/9/main" uri="{725AE2AE-9491-48be-B2B4-4EB974FC3084}">
      <x14:pivotCacheDefinition pivotCacheId="20909180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R-001"/>
    <x v="0"/>
    <x v="0"/>
    <x v="0"/>
    <x v="0"/>
    <n v="150000"/>
    <x v="0"/>
    <x v="0"/>
    <s v="200.000"/>
    <s v="Normal"/>
    <x v="0"/>
    <s v="Onaylandi"/>
  </r>
  <r>
    <s v="TR-002"/>
    <x v="0"/>
    <x v="0"/>
    <x v="1"/>
    <x v="1"/>
    <n v="45000"/>
    <x v="1"/>
    <x v="1"/>
    <s v="100.000"/>
    <s v="Normal"/>
    <x v="1"/>
    <s v="Incelemede"/>
  </r>
  <r>
    <s v="TR-003"/>
    <x v="1"/>
    <x v="1"/>
    <x v="2"/>
    <x v="2"/>
    <n v="8000"/>
    <x v="2"/>
    <x v="0"/>
    <s v="200.000"/>
    <s v="Normal"/>
    <x v="2"/>
    <s v="Onaylandi"/>
  </r>
  <r>
    <s v="TR-004"/>
    <x v="2"/>
    <x v="2"/>
    <x v="3"/>
    <x v="3"/>
    <n v="12000"/>
    <x v="3"/>
    <x v="2"/>
    <s v="150.000"/>
    <s v="Normal"/>
    <x v="3"/>
    <s v="Reddedildi"/>
  </r>
  <r>
    <s v="TR-005"/>
    <x v="3"/>
    <x v="3"/>
    <x v="4"/>
    <x v="4"/>
    <n v="3500"/>
    <x v="4"/>
    <x v="1"/>
    <s v="100.000"/>
    <s v="Normal"/>
    <x v="4"/>
    <s v="Onaylandi"/>
  </r>
  <r>
    <s v="TR-006"/>
    <x v="4"/>
    <x v="4"/>
    <x v="5"/>
    <x v="5"/>
    <n v="22000"/>
    <x v="5"/>
    <x v="2"/>
    <s v="150.000"/>
    <s v="Normal"/>
    <x v="5"/>
    <s v="Onaylandi"/>
  </r>
  <r>
    <s v="TR-007"/>
    <x v="5"/>
    <x v="5"/>
    <x v="0"/>
    <x v="6"/>
    <n v="1200"/>
    <x v="6"/>
    <x v="0"/>
    <s v="200.000"/>
    <s v="Normal"/>
    <x v="6"/>
    <s v="Onaylandi"/>
  </r>
  <r>
    <s v="TR-008"/>
    <x v="6"/>
    <x v="6"/>
    <x v="1"/>
    <x v="7"/>
    <n v="85000"/>
    <x v="7"/>
    <x v="1"/>
    <s v="100.000"/>
    <s v="Normal"/>
    <x v="7"/>
    <s v="Incelemede"/>
  </r>
  <r>
    <s v="TR-009"/>
    <x v="7"/>
    <x v="0"/>
    <x v="2"/>
    <x v="8"/>
    <n v="55000"/>
    <x v="8"/>
    <x v="0"/>
    <s v="200.000"/>
    <s v="Normal"/>
    <x v="8"/>
    <s v="Onaylandi"/>
  </r>
  <r>
    <s v="TR-010"/>
    <x v="8"/>
    <x v="1"/>
    <x v="4"/>
    <x v="9"/>
    <n v="4200"/>
    <x v="9"/>
    <x v="1"/>
    <s v="100.000"/>
    <s v="Normal"/>
    <x v="5"/>
    <s v="Onaylandi"/>
  </r>
  <r>
    <s v="TR-011"/>
    <x v="9"/>
    <x v="2"/>
    <x v="3"/>
    <x v="10"/>
    <n v="7500"/>
    <x v="10"/>
    <x v="2"/>
    <s v="150.000"/>
    <s v="Normal"/>
    <x v="0"/>
    <s v="Onaylandi"/>
  </r>
  <r>
    <s v="TR-012"/>
    <x v="10"/>
    <x v="3"/>
    <x v="5"/>
    <x v="11"/>
    <n v="32000"/>
    <x v="11"/>
    <x v="2"/>
    <s v="150.000"/>
    <s v="Normal"/>
    <x v="2"/>
    <s v="Onaylandi"/>
  </r>
  <r>
    <s v="TR-013"/>
    <x v="11"/>
    <x v="4"/>
    <x v="0"/>
    <x v="12"/>
    <n v="125000"/>
    <x v="12"/>
    <x v="0"/>
    <s v="200.000"/>
    <s v="Normal"/>
    <x v="9"/>
    <s v="Incelemede"/>
  </r>
  <r>
    <s v="TR-014"/>
    <x v="12"/>
    <x v="5"/>
    <x v="1"/>
    <x v="13"/>
    <n v="15000"/>
    <x v="13"/>
    <x v="1"/>
    <s v="100.000"/>
    <s v="Normal"/>
    <x v="2"/>
    <s v="Onaylandi"/>
  </r>
  <r>
    <s v="TR-015"/>
    <x v="13"/>
    <x v="6"/>
    <x v="2"/>
    <x v="14"/>
    <n v="28000"/>
    <x v="14"/>
    <x v="0"/>
    <s v="200.000"/>
    <s v="Normal"/>
    <x v="4"/>
    <s v="Onaylandi"/>
  </r>
  <r>
    <s v="TR-016"/>
    <x v="14"/>
    <x v="0"/>
    <x v="4"/>
    <x v="15"/>
    <n v="2100"/>
    <x v="15"/>
    <x v="1"/>
    <s v="100.000"/>
    <s v="Normal"/>
    <x v="0"/>
    <s v="Onaylandi"/>
  </r>
  <r>
    <s v="TR-017"/>
    <x v="15"/>
    <x v="1"/>
    <x v="3"/>
    <x v="16"/>
    <n v="95000"/>
    <x v="16"/>
    <x v="2"/>
    <s v="150.000"/>
    <s v="Normal"/>
    <x v="1"/>
    <s v="Onaylandi"/>
  </r>
  <r>
    <s v="TR-018"/>
    <x v="16"/>
    <x v="2"/>
    <x v="5"/>
    <x v="17"/>
    <n v="48000"/>
    <x v="17"/>
    <x v="2"/>
    <s v="150.000"/>
    <s v="Normal"/>
    <x v="5"/>
    <s v="Onaylandi"/>
  </r>
  <r>
    <s v="TR-019"/>
    <x v="17"/>
    <x v="3"/>
    <x v="0"/>
    <x v="18"/>
    <n v="62000"/>
    <x v="18"/>
    <x v="0"/>
    <s v="200.000"/>
    <s v="Normal"/>
    <x v="7"/>
    <s v="Incelemede"/>
  </r>
  <r>
    <s v="TR-020"/>
    <x v="18"/>
    <x v="4"/>
    <x v="1"/>
    <x v="19"/>
    <n v="9000"/>
    <x v="19"/>
    <x v="1"/>
    <s v="100.000"/>
    <s v="Normal"/>
    <x v="4"/>
    <s v="Onayland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TR-001"/>
    <x v="0"/>
    <x v="0"/>
    <s v="Satinalma"/>
    <x v="0"/>
    <n v="150000"/>
    <s v="X Lojistik"/>
    <x v="0"/>
    <s v="200.000"/>
    <s v="Normal"/>
    <n v="2"/>
    <s v="Onaylandi"/>
  </r>
  <r>
    <s v="TR-002"/>
    <x v="0"/>
    <x v="0"/>
    <s v="Pazarlama"/>
    <x v="1"/>
    <n v="45000"/>
    <s v="Sosyal Medya AS"/>
    <x v="1"/>
    <s v="100.000"/>
    <s v="Normal"/>
    <n v="7"/>
    <s v="Incelemede"/>
  </r>
  <r>
    <s v="TR-008"/>
    <x v="1"/>
    <x v="1"/>
    <s v="Pazarlama"/>
    <x v="2"/>
    <n v="85000"/>
    <s v="Organizasyon Co."/>
    <x v="1"/>
    <s v="100.000"/>
    <s v="Normal"/>
    <n v="8"/>
    <s v="Incelemede"/>
  </r>
  <r>
    <s v="TR-009"/>
    <x v="2"/>
    <x v="0"/>
    <s v="BT"/>
    <x v="3"/>
    <n v="55000"/>
    <s v="Global Software"/>
    <x v="0"/>
    <s v="200.000"/>
    <s v="Normal"/>
    <n v="6"/>
    <s v="Onaylandi"/>
  </r>
  <r>
    <s v="TR-015"/>
    <x v="3"/>
    <x v="1"/>
    <s v="BT"/>
    <x v="4"/>
    <n v="28000"/>
    <s v="Cloud Tech"/>
    <x v="0"/>
    <s v="200.000"/>
    <s v="Normal"/>
    <n v="3"/>
    <s v="Onaylandi"/>
  </r>
  <r>
    <s v="TR-016"/>
    <x v="4"/>
    <x v="0"/>
    <s v="Satis"/>
    <x v="5"/>
    <n v="2100"/>
    <s v="Petrol Istasyonu"/>
    <x v="1"/>
    <s v="100.000"/>
    <s v="Normal"/>
    <n v="2"/>
    <s v="Onayland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BDA90-700E-43D2-99E3-DB98287A0DE3}" name="PivotTable11" cacheId="2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95:D107" firstHeaderRow="1" firstDataRow="2" firstDataCol="1"/>
  <pivotFields count="12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7">
        <item x="5"/>
        <item x="4"/>
        <item x="2"/>
        <item x="0"/>
        <item x="1"/>
        <item x="3"/>
        <item t="default"/>
      </items>
    </pivotField>
    <pivotField numFmtId="164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2">
    <field x="1"/>
    <field x="2"/>
  </rowFields>
  <rowItems count="11">
    <i>
      <x/>
    </i>
    <i r="1">
      <x v="1"/>
    </i>
    <i>
      <x v="1"/>
    </i>
    <i r="1">
      <x/>
    </i>
    <i>
      <x v="2"/>
    </i>
    <i r="1">
      <x v="1"/>
    </i>
    <i>
      <x v="3"/>
    </i>
    <i r="1">
      <x/>
    </i>
    <i>
      <x v="4"/>
    </i>
    <i r="1"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Toplam Risk Skoru" fld="1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4E3FA-690F-44F8-9AB6-8E440A23ABDB}" name="PivotTable6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72:B93" firstHeaderRow="1" firstDataRow="1" firstDataCol="1"/>
  <pivotFields count="12">
    <pivotField showAll="0"/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2"/>
        <item x="3"/>
        <item x="1"/>
        <item x="0"/>
        <item x="4"/>
        <item x="5"/>
        <item t="default"/>
      </items>
    </pivotField>
    <pivotField dataField="1" showAll="0">
      <items count="21">
        <item x="15"/>
        <item x="5"/>
        <item x="14"/>
        <item x="12"/>
        <item x="18"/>
        <item x="2"/>
        <item x="3"/>
        <item x="7"/>
        <item x="0"/>
        <item x="10"/>
        <item x="17"/>
        <item x="6"/>
        <item x="19"/>
        <item x="1"/>
        <item x="16"/>
        <item x="13"/>
        <item x="4"/>
        <item x="9"/>
        <item x="8"/>
        <item x="11"/>
        <item t="default"/>
      </items>
    </pivotField>
    <pivotField numFmtId="164" showAll="0"/>
    <pivotField axis="axisRow" showAll="0">
      <items count="21">
        <item x="3"/>
        <item x="13"/>
        <item x="12"/>
        <item x="14"/>
        <item x="8"/>
        <item x="16"/>
        <item x="19"/>
        <item x="17"/>
        <item x="10"/>
        <item x="6"/>
        <item x="5"/>
        <item x="18"/>
        <item x="7"/>
        <item x="4"/>
        <item x="15"/>
        <item x="9"/>
        <item x="11"/>
        <item x="1"/>
        <item x="2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6"/>
        <item x="0"/>
        <item x="4"/>
        <item x="2"/>
        <item x="5"/>
        <item x="8"/>
        <item x="1"/>
        <item x="7"/>
        <item x="3"/>
        <item x="9"/>
        <item t="default"/>
      </items>
    </pivotField>
    <pivotField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ay Harcama Türü" fld="4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498F4-26D1-4A55-9C6B-F51A9DAF5A2B}" name="PivotTable5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49:B70" firstHeaderRow="1" firstDataRow="1" firstDataCol="1"/>
  <pivotFields count="12">
    <pivotField showAll="0"/>
    <pivotField numFmtId="14" showAll="0"/>
    <pivotField showAll="0"/>
    <pivotField showAll="0">
      <items count="7">
        <item x="2"/>
        <item x="3"/>
        <item x="1"/>
        <item x="0"/>
        <item x="4"/>
        <item x="5"/>
        <item t="default"/>
      </items>
    </pivotField>
    <pivotField axis="axisRow" showAll="0" sortType="descending">
      <items count="21">
        <item x="15"/>
        <item x="5"/>
        <item x="14"/>
        <item x="12"/>
        <item x="18"/>
        <item x="2"/>
        <item x="3"/>
        <item x="7"/>
        <item x="0"/>
        <item x="10"/>
        <item x="17"/>
        <item x="6"/>
        <item x="19"/>
        <item x="1"/>
        <item x="16"/>
        <item x="13"/>
        <item x="4"/>
        <item x="9"/>
        <item x="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1">
    <i>
      <x v="8"/>
    </i>
    <i>
      <x v="3"/>
    </i>
    <i>
      <x v="14"/>
    </i>
    <i>
      <x v="7"/>
    </i>
    <i>
      <x v="4"/>
    </i>
    <i>
      <x v="18"/>
    </i>
    <i>
      <x v="10"/>
    </i>
    <i>
      <x v="13"/>
    </i>
    <i>
      <x v="19"/>
    </i>
    <i>
      <x v="2"/>
    </i>
    <i>
      <x v="1"/>
    </i>
    <i>
      <x v="15"/>
    </i>
    <i>
      <x v="6"/>
    </i>
    <i>
      <x v="12"/>
    </i>
    <i>
      <x v="5"/>
    </i>
    <i>
      <x v="9"/>
    </i>
    <i>
      <x v="17"/>
    </i>
    <i>
      <x v="16"/>
    </i>
    <i>
      <x/>
    </i>
    <i>
      <x v="11"/>
    </i>
    <i t="grand">
      <x/>
    </i>
  </rowItems>
  <colItems count="1">
    <i/>
  </colItems>
  <dataFields count="1">
    <dataField name="Toplam Tutar (TL)" fld="5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7A71E-539E-4048-A198-BBBEFCC756B7}" name="PivotTable4" cacheId="2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36:B47" firstHeaderRow="1" firstDataRow="1" firstDataCol="1"/>
  <pivotFields count="12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7">
        <item x="5"/>
        <item x="4"/>
        <item x="2"/>
        <item x="0"/>
        <item x="1"/>
        <item x="3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1">
    <i>
      <x/>
    </i>
    <i r="1">
      <x v="1"/>
    </i>
    <i>
      <x v="1"/>
    </i>
    <i r="1">
      <x/>
    </i>
    <i>
      <x v="2"/>
    </i>
    <i r="1">
      <x v="1"/>
    </i>
    <i>
      <x v="3"/>
    </i>
    <i r="1">
      <x/>
    </i>
    <i>
      <x v="4"/>
    </i>
    <i r="1">
      <x v="1"/>
    </i>
    <i t="grand">
      <x/>
    </i>
  </rowItems>
  <colItems count="1">
    <i/>
  </colItems>
  <dataFields count="1">
    <dataField name="Toplam Tutar (TL)" fld="5" baseField="0" baseItem="0" numFmtId="164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99C71-6482-4A26-A255-046FAA2EDD77}" name="PivotTable2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23:B34" firstHeaderRow="1" firstDataRow="1" firstDataCol="1"/>
  <pivotFields count="12">
    <pivotField showAll="0"/>
    <pivotField numFmtId="14"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Row" showAll="0">
      <items count="11">
        <item x="6"/>
        <item x="0"/>
        <item x="4"/>
        <item x="2"/>
        <item x="5"/>
        <item x="8"/>
        <item x="1"/>
        <item x="7"/>
        <item x="3"/>
        <item x="9"/>
        <item t="default"/>
      </items>
    </pivotField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plam Tutar (TL)" fld="5" showDataAs="percentOfCol" baseField="0" baseItem="0" numFmtId="10"/>
  </dataFields>
  <chartFormats count="11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02B69-83B3-4FB3-8C09-DB92DAF5E5B6}" name="PivotTable1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1:B21" firstHeaderRow="1" firstDataRow="1" firstDataCol="1"/>
  <pivotFields count="12">
    <pivotField showAll="0"/>
    <pivotField axis="axisRow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Toplam Tutar (TL)" fld="5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3D8DA603-95D1-440F-B8F2-5B300FE05994}" autoFormatId="16" applyNumberFormats="0" applyBorderFormats="0" applyFontFormats="0" applyPatternFormats="0" applyAlignmentFormats="0" applyWidthHeightFormats="0">
  <queryTableRefresh nextId="13">
    <queryTableFields count="12">
      <queryTableField id="1" name="Islem_ID" tableColumnId="1"/>
      <queryTableField id="2" name="Tarih" tableColumnId="2"/>
      <queryTableField id="10" dataBound="0" tableColumnId="10"/>
      <queryTableField id="3" name="Departman" tableColumnId="3"/>
      <queryTableField id="4" name="Harcama Türü" tableColumnId="4"/>
      <queryTableField id="5" name="Tutar (TL)" tableColumnId="5"/>
      <queryTableField id="6" name="Tedarikçi" tableColumnId="6"/>
      <queryTableField id="7" name="Onaylayan" tableColumnId="7"/>
      <queryTableField id="11" dataBound="0" tableColumnId="11"/>
      <queryTableField id="12" dataBound="0" tableColumnId="12"/>
      <queryTableField id="8" name="Risk Skoru" tableColumnId="8"/>
      <queryTableField id="9" name="Durum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Departman" xr10:uid="{B000FE03-0118-4A87-984F-A453EAB841CB}" sourceName="Departman">
  <pivotTables>
    <pivotTable tabId="1" name="PivotTable5"/>
    <pivotTable tabId="1" name="PivotTable6"/>
  </pivotTables>
  <data>
    <tabular pivotCacheId="1913519996">
      <items count="6">
        <i x="2" s="1"/>
        <i x="3" s="1"/>
        <i x="1" s="1"/>
        <i x="0" s="1"/>
        <i x="4" s="1"/>
        <i x="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arcama_Türü" xr10:uid="{8429AAB8-B7E5-4E24-BC86-57220ABB8FD7}" sourceName="Harcama Türü">
  <pivotTables>
    <pivotTable tabId="1" name="PivotTable4"/>
    <pivotTable tabId="1" name="PivotTable11"/>
  </pivotTables>
  <data>
    <tabular pivotCacheId="2090918010">
      <items count="6">
        <i x="5" s="1"/>
        <i x="4" s="1"/>
        <i x="2" s="1"/>
        <i x="0" s="1"/>
        <i x="1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an" xr10:uid="{844C7891-A001-4F7D-832F-9AA63042A4E0}" cache="Dilimleyici_Departman" caption="Departman" showCaption="0" rowHeight="180000"/>
  <slicer name="Harcama Türü" xr10:uid="{F52E61DA-F6A6-4252-A93F-4DB4D5A424B7}" cache="Dilimleyici_Harcama_Türü" caption="Harcama Türü" columnCount="3" showCaption="0" rowHeight="180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3DE92-ED4C-4835-BFD8-1BFDCA1DBE56}" name="Denetim_Veri_Seti" displayName="Denetim_Veri_Seti" ref="A1:L21" tableType="queryTable" totalsRowShown="0">
  <autoFilter ref="A1:L21" xr:uid="{CF53DE92-ED4C-4835-BFD8-1BFDCA1DBE56}"/>
  <tableColumns count="12">
    <tableColumn id="1" xr3:uid="{BE88834D-E35D-4801-AF4A-ECC4CF35CD74}" uniqueName="1" name="Islem_ID" queryTableFieldId="1" dataDxfId="10"/>
    <tableColumn id="2" xr3:uid="{76A4B360-A20B-458B-9162-FF4602C65066}" uniqueName="2" name="Tarih" queryTableFieldId="2" dataDxfId="9"/>
    <tableColumn id="10" xr3:uid="{BC5C1FA1-404E-4114-B67E-7B2CAA8BEEF2}" uniqueName="10" name="Gün" queryTableFieldId="10" dataDxfId="8">
      <calculatedColumnFormula>TEXT(Denetim_Veri_Seti[[#This Row],[Tarih]],"GGGG")</calculatedColumnFormula>
    </tableColumn>
    <tableColumn id="3" xr3:uid="{1945ED63-9159-4DE0-B0A6-A1575FF33FCB}" uniqueName="3" name="Departman" queryTableFieldId="3" dataDxfId="7"/>
    <tableColumn id="4" xr3:uid="{AF9D873D-9205-4CF8-91E3-89B38D60F462}" uniqueName="4" name="Harcama Türü" queryTableFieldId="4" dataDxfId="6"/>
    <tableColumn id="5" xr3:uid="{EC7C1CD3-A395-44E8-9F81-AE107F49F48A}" uniqueName="5" name="Tutar (TL)" queryTableFieldId="5" dataDxfId="5" dataCellStyle="Virgül"/>
    <tableColumn id="6" xr3:uid="{BB147285-85D2-4900-A327-0B27B46AEBEC}" uniqueName="6" name="Tedarikçi" queryTableFieldId="6" dataDxfId="4"/>
    <tableColumn id="7" xr3:uid="{5E3142AC-A7D6-4AAC-A81E-6E67B75C65D3}" uniqueName="7" name="Onaylayan" queryTableFieldId="7" dataDxfId="3"/>
    <tableColumn id="11" xr3:uid="{43F24E6F-0DA6-4658-A94D-6455C7DE0BFF}" uniqueName="11" name="Tek Seferlik Onay Limiti" queryTableFieldId="11" dataDxfId="2">
      <calculatedColumnFormula>IF(Denetim_Veri_Seti[[#This Row],[Onaylayan]]="Ahmet Y.","200.000",IF(H2="Ayse K.","100.000","150.000"))</calculatedColumnFormula>
    </tableColumn>
    <tableColumn id="12" xr3:uid="{B119A629-2C8C-4644-B4D9-AFF9A94BB170}" uniqueName="12" name="Limit Aşımı/Normal" queryTableFieldId="12" dataDxfId="1">
      <calculatedColumnFormula>IF(F2&gt;I2,"Limit Aşımı","Normal")</calculatedColumnFormula>
    </tableColumn>
    <tableColumn id="8" xr3:uid="{C530200B-BEB2-434D-9E5B-FFF2EED4EFB4}" uniqueName="8" name="Risk Skoru" queryTableFieldId="8"/>
    <tableColumn id="9" xr3:uid="{1713F546-7CED-4CD1-BE95-855651940079}" uniqueName="9" name="Durum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Özel 16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4ADE66"/>
      </a:accent1>
      <a:accent2>
        <a:srgbClr val="50B869"/>
      </a:accent2>
      <a:accent3>
        <a:srgbClr val="0A7014"/>
      </a:accent3>
      <a:accent4>
        <a:srgbClr val="00B0F0"/>
      </a:accent4>
      <a:accent5>
        <a:srgbClr val="1AC89A"/>
      </a:accent5>
      <a:accent6>
        <a:srgbClr val="4EA72E"/>
      </a:accent6>
      <a:hlink>
        <a:srgbClr val="63C179"/>
      </a:hlink>
      <a:folHlink>
        <a:srgbClr val="86B3B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7322-ACF1-48C3-9913-B9A35ED29F56}">
  <dimension ref="A1:L42"/>
  <sheetViews>
    <sheetView workbookViewId="0">
      <selection activeCell="G2" sqref="G2"/>
    </sheetView>
  </sheetViews>
  <sheetFormatPr defaultRowHeight="15" x14ac:dyDescent="0.25"/>
  <cols>
    <col min="1" max="1" width="11.140625" bestFit="1" customWidth="1"/>
    <col min="2" max="2" width="10.140625" bestFit="1" customWidth="1"/>
    <col min="3" max="3" width="10.140625" customWidth="1"/>
    <col min="4" max="4" width="13.28515625" bestFit="1" customWidth="1"/>
    <col min="5" max="5" width="15.7109375" bestFit="1" customWidth="1"/>
    <col min="6" max="6" width="11.7109375" bestFit="1" customWidth="1"/>
    <col min="7" max="7" width="16.5703125" bestFit="1" customWidth="1"/>
    <col min="8" max="8" width="12.5703125" bestFit="1" customWidth="1"/>
    <col min="9" max="9" width="24.85546875" bestFit="1" customWidth="1"/>
    <col min="10" max="10" width="24.85546875" customWidth="1"/>
    <col min="11" max="11" width="12.7109375" bestFit="1" customWidth="1"/>
    <col min="12" max="12" width="11.140625" bestFit="1" customWidth="1"/>
  </cols>
  <sheetData>
    <row r="1" spans="1:12" x14ac:dyDescent="0.25">
      <c r="A1" t="s">
        <v>0</v>
      </c>
      <c r="B1" t="s">
        <v>1</v>
      </c>
      <c r="C1" t="s">
        <v>81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88</v>
      </c>
      <c r="J1" t="s">
        <v>89</v>
      </c>
      <c r="K1" t="s">
        <v>7</v>
      </c>
      <c r="L1" t="s">
        <v>8</v>
      </c>
    </row>
    <row r="2" spans="1:12" x14ac:dyDescent="0.25">
      <c r="A2" t="s">
        <v>9</v>
      </c>
      <c r="B2" s="1">
        <v>46054</v>
      </c>
      <c r="C2" s="1" t="str">
        <f>TEXT(Denetim_Veri_Seti[[#This Row],[Tarih]],"GGGG")</f>
        <v>Pazar</v>
      </c>
      <c r="D2" t="s">
        <v>10</v>
      </c>
      <c r="E2" t="s">
        <v>11</v>
      </c>
      <c r="F2" s="2">
        <v>150000</v>
      </c>
      <c r="G2" t="s">
        <v>12</v>
      </c>
      <c r="H2" t="s">
        <v>13</v>
      </c>
      <c r="I2" t="str">
        <f>IF(Denetim_Veri_Seti[[#This Row],[Onaylayan]]="Ahmet Y.","200.000",IF(H2="Ayse K.","100.000","150.000"))</f>
        <v>200.000</v>
      </c>
      <c r="J2" t="str">
        <f t="shared" ref="J2:J21" si="0">IF(F2&gt;I2,"Limit Aşımı","Normal")</f>
        <v>Normal</v>
      </c>
      <c r="K2">
        <v>2</v>
      </c>
      <c r="L2" t="s">
        <v>14</v>
      </c>
    </row>
    <row r="3" spans="1:12" x14ac:dyDescent="0.25">
      <c r="A3" t="s">
        <v>15</v>
      </c>
      <c r="B3" s="1">
        <v>46054</v>
      </c>
      <c r="C3" s="1" t="str">
        <f>TEXT(Denetim_Veri_Seti[[#This Row],[Tarih]],"GGGG")</f>
        <v>Pazar</v>
      </c>
      <c r="D3" t="s">
        <v>16</v>
      </c>
      <c r="E3" t="s">
        <v>17</v>
      </c>
      <c r="F3" s="2">
        <v>45000</v>
      </c>
      <c r="G3" t="s">
        <v>18</v>
      </c>
      <c r="H3" t="s">
        <v>19</v>
      </c>
      <c r="I3" t="str">
        <f>IF(Denetim_Veri_Seti[[#This Row],[Onaylayan]]="Ahmet Y.","200.000",IF(H3="Ayse K.","100.000","150.000"))</f>
        <v>100.000</v>
      </c>
      <c r="J3" t="str">
        <f t="shared" si="0"/>
        <v>Normal</v>
      </c>
      <c r="K3">
        <v>7</v>
      </c>
      <c r="L3" t="s">
        <v>20</v>
      </c>
    </row>
    <row r="4" spans="1:12" x14ac:dyDescent="0.25">
      <c r="A4" t="s">
        <v>21</v>
      </c>
      <c r="B4" s="1">
        <v>46055</v>
      </c>
      <c r="C4" s="1" t="str">
        <f>TEXT(Denetim_Veri_Seti[[#This Row],[Tarih]],"GGGG")</f>
        <v>Pazartesi</v>
      </c>
      <c r="D4" t="s">
        <v>22</v>
      </c>
      <c r="E4" t="s">
        <v>23</v>
      </c>
      <c r="F4" s="2">
        <v>8000</v>
      </c>
      <c r="G4" t="s">
        <v>24</v>
      </c>
      <c r="H4" t="s">
        <v>13</v>
      </c>
      <c r="I4" t="str">
        <f>IF(Denetim_Veri_Seti[[#This Row],[Onaylayan]]="Ahmet Y.","200.000",IF(H4="Ayse K.","100.000","150.000"))</f>
        <v>200.000</v>
      </c>
      <c r="J4" t="str">
        <f t="shared" si="0"/>
        <v>Normal</v>
      </c>
      <c r="K4">
        <v>4</v>
      </c>
      <c r="L4" t="s">
        <v>14</v>
      </c>
    </row>
    <row r="5" spans="1:12" x14ac:dyDescent="0.25">
      <c r="A5" t="s">
        <v>25</v>
      </c>
      <c r="B5" s="1">
        <v>46056</v>
      </c>
      <c r="C5" s="1" t="str">
        <f>TEXT(Denetim_Veri_Seti[[#This Row],[Tarih]],"GGGG")</f>
        <v>Salı</v>
      </c>
      <c r="D5" t="s">
        <v>26</v>
      </c>
      <c r="E5" t="s">
        <v>27</v>
      </c>
      <c r="F5" s="2">
        <v>12000</v>
      </c>
      <c r="G5" t="s">
        <v>28</v>
      </c>
      <c r="H5" t="s">
        <v>29</v>
      </c>
      <c r="I5" t="str">
        <f>IF(Denetim_Veri_Seti[[#This Row],[Onaylayan]]="Ahmet Y.","200.000",IF(H5="Ayse K.","100.000","150.000"))</f>
        <v>150.000</v>
      </c>
      <c r="J5" t="str">
        <f t="shared" si="0"/>
        <v>Normal</v>
      </c>
      <c r="K5">
        <v>9</v>
      </c>
      <c r="L5" t="s">
        <v>30</v>
      </c>
    </row>
    <row r="6" spans="1:12" x14ac:dyDescent="0.25">
      <c r="A6" t="s">
        <v>31</v>
      </c>
      <c r="B6" s="1">
        <v>46057</v>
      </c>
      <c r="C6" s="1" t="str">
        <f>TEXT(Denetim_Veri_Seti[[#This Row],[Tarih]],"GGGG")</f>
        <v>Çarşamba</v>
      </c>
      <c r="D6" t="s">
        <v>32</v>
      </c>
      <c r="E6" t="s">
        <v>33</v>
      </c>
      <c r="F6" s="2">
        <v>3500</v>
      </c>
      <c r="G6" t="s">
        <v>34</v>
      </c>
      <c r="H6" t="s">
        <v>19</v>
      </c>
      <c r="I6" t="str">
        <f>IF(Denetim_Veri_Seti[[#This Row],[Onaylayan]]="Ahmet Y.","200.000",IF(H6="Ayse K.","100.000","150.000"))</f>
        <v>100.000</v>
      </c>
      <c r="J6" t="str">
        <f t="shared" si="0"/>
        <v>Normal</v>
      </c>
      <c r="K6">
        <v>3</v>
      </c>
      <c r="L6" t="s">
        <v>14</v>
      </c>
    </row>
    <row r="7" spans="1:12" x14ac:dyDescent="0.25">
      <c r="A7" t="s">
        <v>35</v>
      </c>
      <c r="B7" s="1">
        <v>46058</v>
      </c>
      <c r="C7" s="1" t="str">
        <f>TEXT(Denetim_Veri_Seti[[#This Row],[Tarih]],"GGGG")</f>
        <v>Perşembe</v>
      </c>
      <c r="D7" t="s">
        <v>36</v>
      </c>
      <c r="E7" t="s">
        <v>37</v>
      </c>
      <c r="F7" s="2">
        <v>22000</v>
      </c>
      <c r="G7" t="s">
        <v>38</v>
      </c>
      <c r="H7" t="s">
        <v>29</v>
      </c>
      <c r="I7" t="str">
        <f>IF(Denetim_Veri_Seti[[#This Row],[Onaylayan]]="Ahmet Y.","200.000",IF(H7="Ayse K.","100.000","150.000"))</f>
        <v>150.000</v>
      </c>
      <c r="J7" t="str">
        <f t="shared" si="0"/>
        <v>Normal</v>
      </c>
      <c r="K7">
        <v>5</v>
      </c>
      <c r="L7" t="s">
        <v>14</v>
      </c>
    </row>
    <row r="8" spans="1:12" x14ac:dyDescent="0.25">
      <c r="A8" t="s">
        <v>39</v>
      </c>
      <c r="B8" s="1">
        <v>46059</v>
      </c>
      <c r="C8" s="1" t="str">
        <f>TEXT(Denetim_Veri_Seti[[#This Row],[Tarih]],"GGGG")</f>
        <v>Cuma</v>
      </c>
      <c r="D8" t="s">
        <v>10</v>
      </c>
      <c r="E8" t="s">
        <v>40</v>
      </c>
      <c r="F8" s="2">
        <v>1200</v>
      </c>
      <c r="G8" t="s">
        <v>41</v>
      </c>
      <c r="H8" t="s">
        <v>13</v>
      </c>
      <c r="I8" t="str">
        <f>IF(Denetim_Veri_Seti[[#This Row],[Onaylayan]]="Ahmet Y.","200.000",IF(H8="Ayse K.","100.000","150.000"))</f>
        <v>200.000</v>
      </c>
      <c r="J8" t="str">
        <f t="shared" si="0"/>
        <v>Normal</v>
      </c>
      <c r="K8">
        <v>1</v>
      </c>
      <c r="L8" t="s">
        <v>14</v>
      </c>
    </row>
    <row r="9" spans="1:12" x14ac:dyDescent="0.25">
      <c r="A9" t="s">
        <v>42</v>
      </c>
      <c r="B9" s="1">
        <v>46060</v>
      </c>
      <c r="C9" s="1" t="str">
        <f>TEXT(Denetim_Veri_Seti[[#This Row],[Tarih]],"GGGG")</f>
        <v>Cumartesi</v>
      </c>
      <c r="D9" t="s">
        <v>16</v>
      </c>
      <c r="E9" t="s">
        <v>43</v>
      </c>
      <c r="F9" s="2">
        <v>85000</v>
      </c>
      <c r="G9" t="s">
        <v>44</v>
      </c>
      <c r="H9" t="s">
        <v>19</v>
      </c>
      <c r="I9" t="str">
        <f>IF(Denetim_Veri_Seti[[#This Row],[Onaylayan]]="Ahmet Y.","200.000",IF(H9="Ayse K.","100.000","150.000"))</f>
        <v>100.000</v>
      </c>
      <c r="J9" t="str">
        <f t="shared" si="0"/>
        <v>Normal</v>
      </c>
      <c r="K9">
        <v>8</v>
      </c>
      <c r="L9" t="s">
        <v>20</v>
      </c>
    </row>
    <row r="10" spans="1:12" x14ac:dyDescent="0.25">
      <c r="A10" t="s">
        <v>45</v>
      </c>
      <c r="B10" s="1">
        <v>46061</v>
      </c>
      <c r="C10" s="1" t="str">
        <f>TEXT(Denetim_Veri_Seti[[#This Row],[Tarih]],"GGGG")</f>
        <v>Pazar</v>
      </c>
      <c r="D10" t="s">
        <v>22</v>
      </c>
      <c r="E10" t="s">
        <v>46</v>
      </c>
      <c r="F10" s="2">
        <v>55000</v>
      </c>
      <c r="G10" t="s">
        <v>47</v>
      </c>
      <c r="H10" t="s">
        <v>13</v>
      </c>
      <c r="I10" t="str">
        <f>IF(Denetim_Veri_Seti[[#This Row],[Onaylayan]]="Ahmet Y.","200.000",IF(H10="Ayse K.","100.000","150.000"))</f>
        <v>200.000</v>
      </c>
      <c r="J10" t="str">
        <f t="shared" si="0"/>
        <v>Normal</v>
      </c>
      <c r="K10">
        <v>6</v>
      </c>
      <c r="L10" t="s">
        <v>14</v>
      </c>
    </row>
    <row r="11" spans="1:12" x14ac:dyDescent="0.25">
      <c r="A11" t="s">
        <v>48</v>
      </c>
      <c r="B11" s="1">
        <v>46062</v>
      </c>
      <c r="C11" s="1" t="str">
        <f>TEXT(Denetim_Veri_Seti[[#This Row],[Tarih]],"GGGG")</f>
        <v>Pazartesi</v>
      </c>
      <c r="D11" t="s">
        <v>32</v>
      </c>
      <c r="E11" t="s">
        <v>49</v>
      </c>
      <c r="F11" s="2">
        <v>4200</v>
      </c>
      <c r="G11" t="s">
        <v>50</v>
      </c>
      <c r="H11" t="s">
        <v>19</v>
      </c>
      <c r="I11" t="str">
        <f>IF(Denetim_Veri_Seti[[#This Row],[Onaylayan]]="Ahmet Y.","200.000",IF(H11="Ayse K.","100.000","150.000"))</f>
        <v>100.000</v>
      </c>
      <c r="J11" t="str">
        <f t="shared" si="0"/>
        <v>Normal</v>
      </c>
      <c r="K11">
        <v>5</v>
      </c>
      <c r="L11" t="s">
        <v>14</v>
      </c>
    </row>
    <row r="12" spans="1:12" x14ac:dyDescent="0.25">
      <c r="A12" t="s">
        <v>51</v>
      </c>
      <c r="B12" s="1">
        <v>46063</v>
      </c>
      <c r="C12" s="1" t="str">
        <f>TEXT(Denetim_Veri_Seti[[#This Row],[Tarih]],"GGGG")</f>
        <v>Salı</v>
      </c>
      <c r="D12" t="s">
        <v>26</v>
      </c>
      <c r="E12" t="s">
        <v>52</v>
      </c>
      <c r="F12" s="2">
        <v>7500</v>
      </c>
      <c r="G12" t="s">
        <v>53</v>
      </c>
      <c r="H12" t="s">
        <v>29</v>
      </c>
      <c r="I12" t="str">
        <f>IF(Denetim_Veri_Seti[[#This Row],[Onaylayan]]="Ahmet Y.","200.000",IF(H12="Ayse K.","100.000","150.000"))</f>
        <v>150.000</v>
      </c>
      <c r="J12" t="str">
        <f t="shared" si="0"/>
        <v>Normal</v>
      </c>
      <c r="K12">
        <v>2</v>
      </c>
      <c r="L12" t="s">
        <v>14</v>
      </c>
    </row>
    <row r="13" spans="1:12" x14ac:dyDescent="0.25">
      <c r="A13" t="s">
        <v>54</v>
      </c>
      <c r="B13" s="1">
        <v>46064</v>
      </c>
      <c r="C13" s="1" t="str">
        <f>TEXT(Denetim_Veri_Seti[[#This Row],[Tarih]],"GGGG")</f>
        <v>Çarşamba</v>
      </c>
      <c r="D13" t="s">
        <v>36</v>
      </c>
      <c r="E13" t="s">
        <v>55</v>
      </c>
      <c r="F13" s="2">
        <v>32000</v>
      </c>
      <c r="G13" t="s">
        <v>56</v>
      </c>
      <c r="H13" t="s">
        <v>29</v>
      </c>
      <c r="I13" t="str">
        <f>IF(Denetim_Veri_Seti[[#This Row],[Onaylayan]]="Ahmet Y.","200.000",IF(H13="Ayse K.","100.000","150.000"))</f>
        <v>150.000</v>
      </c>
      <c r="J13" t="str">
        <f t="shared" si="0"/>
        <v>Normal</v>
      </c>
      <c r="K13">
        <v>4</v>
      </c>
      <c r="L13" t="s">
        <v>14</v>
      </c>
    </row>
    <row r="14" spans="1:12" x14ac:dyDescent="0.25">
      <c r="A14" t="s">
        <v>57</v>
      </c>
      <c r="B14" s="1">
        <v>46065</v>
      </c>
      <c r="C14" s="1" t="str">
        <f>TEXT(Denetim_Veri_Seti[[#This Row],[Tarih]],"GGGG")</f>
        <v>Perşembe</v>
      </c>
      <c r="D14" t="s">
        <v>10</v>
      </c>
      <c r="E14" t="s">
        <v>58</v>
      </c>
      <c r="F14" s="2">
        <v>125000</v>
      </c>
      <c r="G14" t="s">
        <v>59</v>
      </c>
      <c r="H14" t="s">
        <v>13</v>
      </c>
      <c r="I14" t="str">
        <f>IF(Denetim_Veri_Seti[[#This Row],[Onaylayan]]="Ahmet Y.","200.000",IF(H14="Ayse K.","100.000","150.000"))</f>
        <v>200.000</v>
      </c>
      <c r="J14" t="str">
        <f t="shared" si="0"/>
        <v>Normal</v>
      </c>
      <c r="K14">
        <v>10</v>
      </c>
      <c r="L14" t="s">
        <v>20</v>
      </c>
    </row>
    <row r="15" spans="1:12" x14ac:dyDescent="0.25">
      <c r="A15" t="s">
        <v>60</v>
      </c>
      <c r="B15" s="1">
        <v>46066</v>
      </c>
      <c r="C15" s="1" t="str">
        <f>TEXT(Denetim_Veri_Seti[[#This Row],[Tarih]],"GGGG")</f>
        <v>Cuma</v>
      </c>
      <c r="D15" t="s">
        <v>16</v>
      </c>
      <c r="E15" t="s">
        <v>61</v>
      </c>
      <c r="F15" s="2">
        <v>15000</v>
      </c>
      <c r="G15" t="s">
        <v>62</v>
      </c>
      <c r="H15" t="s">
        <v>19</v>
      </c>
      <c r="I15" t="str">
        <f>IF(Denetim_Veri_Seti[[#This Row],[Onaylayan]]="Ahmet Y.","200.000",IF(H15="Ayse K.","100.000","150.000"))</f>
        <v>100.000</v>
      </c>
      <c r="J15" t="str">
        <f t="shared" si="0"/>
        <v>Normal</v>
      </c>
      <c r="K15">
        <v>4</v>
      </c>
      <c r="L15" t="s">
        <v>14</v>
      </c>
    </row>
    <row r="16" spans="1:12" x14ac:dyDescent="0.25">
      <c r="A16" t="s">
        <v>63</v>
      </c>
      <c r="B16" s="1">
        <v>46067</v>
      </c>
      <c r="C16" s="1" t="str">
        <f>TEXT(Denetim_Veri_Seti[[#This Row],[Tarih]],"GGGG")</f>
        <v>Cumartesi</v>
      </c>
      <c r="D16" t="s">
        <v>22</v>
      </c>
      <c r="E16" t="s">
        <v>64</v>
      </c>
      <c r="F16" s="2">
        <v>28000</v>
      </c>
      <c r="G16" t="s">
        <v>65</v>
      </c>
      <c r="H16" t="s">
        <v>13</v>
      </c>
      <c r="I16" t="str">
        <f>IF(Denetim_Veri_Seti[[#This Row],[Onaylayan]]="Ahmet Y.","200.000",IF(H16="Ayse K.","100.000","150.000"))</f>
        <v>200.000</v>
      </c>
      <c r="J16" t="str">
        <f t="shared" si="0"/>
        <v>Normal</v>
      </c>
      <c r="K16">
        <v>3</v>
      </c>
      <c r="L16" t="s">
        <v>14</v>
      </c>
    </row>
    <row r="17" spans="1:12" x14ac:dyDescent="0.25">
      <c r="A17" t="s">
        <v>66</v>
      </c>
      <c r="B17" s="1">
        <v>46068</v>
      </c>
      <c r="C17" s="1" t="str">
        <f>TEXT(Denetim_Veri_Seti[[#This Row],[Tarih]],"GGGG")</f>
        <v>Pazar</v>
      </c>
      <c r="D17" t="s">
        <v>32</v>
      </c>
      <c r="E17" t="s">
        <v>67</v>
      </c>
      <c r="F17" s="2">
        <v>2100</v>
      </c>
      <c r="G17" t="s">
        <v>68</v>
      </c>
      <c r="H17" t="s">
        <v>19</v>
      </c>
      <c r="I17" t="str">
        <f>IF(Denetim_Veri_Seti[[#This Row],[Onaylayan]]="Ahmet Y.","200.000",IF(H17="Ayse K.","100.000","150.000"))</f>
        <v>100.000</v>
      </c>
      <c r="J17" t="str">
        <f t="shared" si="0"/>
        <v>Normal</v>
      </c>
      <c r="K17">
        <v>2</v>
      </c>
      <c r="L17" t="s">
        <v>14</v>
      </c>
    </row>
    <row r="18" spans="1:12" x14ac:dyDescent="0.25">
      <c r="A18" t="s">
        <v>69</v>
      </c>
      <c r="B18" s="1">
        <v>46069</v>
      </c>
      <c r="C18" s="1" t="str">
        <f>TEXT(Denetim_Veri_Seti[[#This Row],[Tarih]],"GGGG")</f>
        <v>Pazartesi</v>
      </c>
      <c r="D18" t="s">
        <v>26</v>
      </c>
      <c r="E18" t="s">
        <v>70</v>
      </c>
      <c r="F18" s="2">
        <v>95000</v>
      </c>
      <c r="G18" t="s">
        <v>71</v>
      </c>
      <c r="H18" t="s">
        <v>29</v>
      </c>
      <c r="I18" t="str">
        <f>IF(Denetim_Veri_Seti[[#This Row],[Onaylayan]]="Ahmet Y.","200.000",IF(H18="Ayse K.","100.000","150.000"))</f>
        <v>150.000</v>
      </c>
      <c r="J18" t="str">
        <f t="shared" si="0"/>
        <v>Normal</v>
      </c>
      <c r="K18">
        <v>7</v>
      </c>
      <c r="L18" t="s">
        <v>14</v>
      </c>
    </row>
    <row r="19" spans="1:12" x14ac:dyDescent="0.25">
      <c r="A19" t="s">
        <v>72</v>
      </c>
      <c r="B19" s="1">
        <v>46070</v>
      </c>
      <c r="C19" s="1" t="str">
        <f>TEXT(Denetim_Veri_Seti[[#This Row],[Tarih]],"GGGG")</f>
        <v>Salı</v>
      </c>
      <c r="D19" t="s">
        <v>36</v>
      </c>
      <c r="E19" t="s">
        <v>73</v>
      </c>
      <c r="F19" s="2">
        <v>48000</v>
      </c>
      <c r="G19" t="s">
        <v>74</v>
      </c>
      <c r="H19" t="s">
        <v>29</v>
      </c>
      <c r="I19" t="str">
        <f>IF(Denetim_Veri_Seti[[#This Row],[Onaylayan]]="Ahmet Y.","200.000",IF(H19="Ayse K.","100.000","150.000"))</f>
        <v>150.000</v>
      </c>
      <c r="J19" t="str">
        <f t="shared" si="0"/>
        <v>Normal</v>
      </c>
      <c r="K19">
        <v>5</v>
      </c>
      <c r="L19" t="s">
        <v>14</v>
      </c>
    </row>
    <row r="20" spans="1:12" x14ac:dyDescent="0.25">
      <c r="A20" t="s">
        <v>75</v>
      </c>
      <c r="B20" s="1">
        <v>46071</v>
      </c>
      <c r="C20" s="1" t="str">
        <f>TEXT(Denetim_Veri_Seti[[#This Row],[Tarih]],"GGGG")</f>
        <v>Çarşamba</v>
      </c>
      <c r="D20" t="s">
        <v>10</v>
      </c>
      <c r="E20" t="s">
        <v>76</v>
      </c>
      <c r="F20" s="2">
        <v>62000</v>
      </c>
      <c r="G20" t="s">
        <v>77</v>
      </c>
      <c r="H20" t="s">
        <v>13</v>
      </c>
      <c r="I20" t="str">
        <f>IF(Denetim_Veri_Seti[[#This Row],[Onaylayan]]="Ahmet Y.","200.000",IF(H20="Ayse K.","100.000","150.000"))</f>
        <v>200.000</v>
      </c>
      <c r="J20" t="str">
        <f t="shared" si="0"/>
        <v>Normal</v>
      </c>
      <c r="K20">
        <v>8</v>
      </c>
      <c r="L20" t="s">
        <v>20</v>
      </c>
    </row>
    <row r="21" spans="1:12" x14ac:dyDescent="0.25">
      <c r="A21" t="s">
        <v>78</v>
      </c>
      <c r="B21" s="1">
        <v>46072</v>
      </c>
      <c r="C21" s="1" t="str">
        <f>TEXT(Denetim_Veri_Seti[[#This Row],[Tarih]],"GGGG")</f>
        <v>Perşembe</v>
      </c>
      <c r="D21" t="s">
        <v>16</v>
      </c>
      <c r="E21" t="s">
        <v>79</v>
      </c>
      <c r="F21" s="2">
        <v>9000</v>
      </c>
      <c r="G21" t="s">
        <v>80</v>
      </c>
      <c r="H21" t="s">
        <v>19</v>
      </c>
      <c r="I21" t="str">
        <f>IF(Denetim_Veri_Seti[[#This Row],[Onaylayan]]="Ahmet Y.","200.000",IF(H21="Ayse K.","100.000","150.000"))</f>
        <v>100.000</v>
      </c>
      <c r="J21" t="str">
        <f t="shared" si="0"/>
        <v>Normal</v>
      </c>
      <c r="K21">
        <v>3</v>
      </c>
      <c r="L21" t="s">
        <v>14</v>
      </c>
    </row>
    <row r="23" spans="1:12" x14ac:dyDescent="0.25">
      <c r="B23" s="27"/>
    </row>
    <row r="24" spans="1:12" x14ac:dyDescent="0.25">
      <c r="B24" s="27"/>
    </row>
    <row r="25" spans="1:12" x14ac:dyDescent="0.25">
      <c r="B25" s="27"/>
    </row>
    <row r="26" spans="1:12" x14ac:dyDescent="0.25">
      <c r="B26" s="27"/>
    </row>
    <row r="27" spans="1:12" x14ac:dyDescent="0.25">
      <c r="B27" s="27"/>
    </row>
    <row r="28" spans="1:12" x14ac:dyDescent="0.25">
      <c r="B28" s="27"/>
    </row>
    <row r="29" spans="1:12" x14ac:dyDescent="0.25">
      <c r="B29" s="27"/>
    </row>
    <row r="30" spans="1:12" x14ac:dyDescent="0.25">
      <c r="B30" s="27"/>
    </row>
    <row r="31" spans="1:12" x14ac:dyDescent="0.25">
      <c r="B31" s="27"/>
    </row>
    <row r="32" spans="1:12" x14ac:dyDescent="0.25">
      <c r="B32" s="27"/>
    </row>
    <row r="33" spans="2:2" x14ac:dyDescent="0.25">
      <c r="B33" s="27"/>
    </row>
    <row r="34" spans="2:2" x14ac:dyDescent="0.25">
      <c r="B34" s="27"/>
    </row>
    <row r="35" spans="2:2" x14ac:dyDescent="0.25">
      <c r="B35" s="27"/>
    </row>
    <row r="36" spans="2:2" x14ac:dyDescent="0.25">
      <c r="B36" s="27"/>
    </row>
    <row r="37" spans="2:2" x14ac:dyDescent="0.25">
      <c r="B37" s="27"/>
    </row>
    <row r="38" spans="2:2" x14ac:dyDescent="0.25">
      <c r="B38" s="27"/>
    </row>
    <row r="39" spans="2:2" x14ac:dyDescent="0.25">
      <c r="B39" s="27"/>
    </row>
    <row r="40" spans="2:2" x14ac:dyDescent="0.25">
      <c r="B40" s="27"/>
    </row>
    <row r="41" spans="2:2" x14ac:dyDescent="0.25">
      <c r="B41" s="27"/>
    </row>
    <row r="42" spans="2:2" x14ac:dyDescent="0.25">
      <c r="B42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A468-1465-43B9-A334-B6D63C578D51}">
  <dimension ref="A1:L37"/>
  <sheetViews>
    <sheetView workbookViewId="0">
      <selection activeCell="I8" sqref="I8"/>
    </sheetView>
  </sheetViews>
  <sheetFormatPr defaultRowHeight="15" x14ac:dyDescent="0.25"/>
  <cols>
    <col min="1" max="1" width="13.28515625" bestFit="1" customWidth="1"/>
    <col min="2" max="2" width="22" bestFit="1" customWidth="1"/>
    <col min="3" max="3" width="31.7109375" bestFit="1" customWidth="1"/>
    <col min="8" max="8" width="10.28515625" bestFit="1" customWidth="1"/>
  </cols>
  <sheetData>
    <row r="1" spans="1:12" ht="15.75" thickBot="1" x14ac:dyDescent="0.3">
      <c r="A1" s="3" t="s">
        <v>6</v>
      </c>
      <c r="B1" s="3" t="s">
        <v>82</v>
      </c>
      <c r="C1" s="3" t="s">
        <v>83</v>
      </c>
    </row>
    <row r="2" spans="1:12" ht="15.75" thickBot="1" x14ac:dyDescent="0.3">
      <c r="A2" s="3" t="s">
        <v>84</v>
      </c>
      <c r="B2" s="4" t="s">
        <v>85</v>
      </c>
      <c r="C2" s="5">
        <v>100000</v>
      </c>
    </row>
    <row r="3" spans="1:12" ht="15.75" thickBot="1" x14ac:dyDescent="0.3">
      <c r="A3" s="3" t="s">
        <v>29</v>
      </c>
      <c r="B3" s="4" t="s">
        <v>86</v>
      </c>
      <c r="C3" s="5">
        <v>150000</v>
      </c>
    </row>
    <row r="4" spans="1:12" ht="15.75" thickBot="1" x14ac:dyDescent="0.3">
      <c r="A4" s="3" t="s">
        <v>13</v>
      </c>
      <c r="B4" s="4" t="s">
        <v>87</v>
      </c>
      <c r="C4" s="5">
        <v>200000</v>
      </c>
    </row>
    <row r="7" spans="1:12" x14ac:dyDescent="0.25">
      <c r="A7" s="6" t="s">
        <v>0</v>
      </c>
      <c r="B7" s="7" t="s">
        <v>1</v>
      </c>
      <c r="C7" s="7" t="s">
        <v>81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  <c r="I7" s="7" t="s">
        <v>88</v>
      </c>
      <c r="J7" s="7" t="s">
        <v>89</v>
      </c>
      <c r="K7" s="7" t="s">
        <v>7</v>
      </c>
      <c r="L7" s="8" t="s">
        <v>8</v>
      </c>
    </row>
    <row r="8" spans="1:12" x14ac:dyDescent="0.25">
      <c r="A8" s="9" t="s">
        <v>9</v>
      </c>
      <c r="B8" s="23">
        <v>46054</v>
      </c>
      <c r="C8" s="23" t="s">
        <v>93</v>
      </c>
      <c r="D8" s="10" t="s">
        <v>10</v>
      </c>
      <c r="E8" s="10" t="s">
        <v>11</v>
      </c>
      <c r="F8" s="24">
        <v>150000</v>
      </c>
      <c r="G8" s="10" t="s">
        <v>12</v>
      </c>
      <c r="H8" s="10" t="s">
        <v>13</v>
      </c>
      <c r="I8" s="10" t="s">
        <v>95</v>
      </c>
      <c r="J8" s="10" t="s">
        <v>96</v>
      </c>
      <c r="K8" s="10">
        <v>2</v>
      </c>
      <c r="L8" s="11" t="s">
        <v>14</v>
      </c>
    </row>
    <row r="9" spans="1:12" x14ac:dyDescent="0.25">
      <c r="A9" s="12" t="s">
        <v>15</v>
      </c>
      <c r="B9" s="25">
        <v>46054</v>
      </c>
      <c r="C9" s="25" t="s">
        <v>93</v>
      </c>
      <c r="D9" s="13" t="s">
        <v>16</v>
      </c>
      <c r="E9" s="13" t="s">
        <v>17</v>
      </c>
      <c r="F9" s="26">
        <v>45000</v>
      </c>
      <c r="G9" s="13" t="s">
        <v>18</v>
      </c>
      <c r="H9" s="13" t="s">
        <v>19</v>
      </c>
      <c r="I9" s="13" t="s">
        <v>97</v>
      </c>
      <c r="J9" s="13" t="s">
        <v>96</v>
      </c>
      <c r="K9" s="13">
        <v>7</v>
      </c>
      <c r="L9" s="14" t="s">
        <v>20</v>
      </c>
    </row>
    <row r="10" spans="1:12" x14ac:dyDescent="0.25">
      <c r="A10" s="9" t="s">
        <v>42</v>
      </c>
      <c r="B10" s="23">
        <v>46060</v>
      </c>
      <c r="C10" s="23" t="s">
        <v>94</v>
      </c>
      <c r="D10" s="10" t="s">
        <v>16</v>
      </c>
      <c r="E10" s="10" t="s">
        <v>43</v>
      </c>
      <c r="F10" s="24">
        <v>85000</v>
      </c>
      <c r="G10" s="10" t="s">
        <v>44</v>
      </c>
      <c r="H10" s="10" t="s">
        <v>19</v>
      </c>
      <c r="I10" s="10" t="s">
        <v>97</v>
      </c>
      <c r="J10" s="10" t="s">
        <v>96</v>
      </c>
      <c r="K10" s="10">
        <v>8</v>
      </c>
      <c r="L10" s="11" t="s">
        <v>20</v>
      </c>
    </row>
    <row r="11" spans="1:12" x14ac:dyDescent="0.25">
      <c r="A11" s="12" t="s">
        <v>45</v>
      </c>
      <c r="B11" s="25">
        <v>46061</v>
      </c>
      <c r="C11" s="25" t="s">
        <v>93</v>
      </c>
      <c r="D11" s="13" t="s">
        <v>22</v>
      </c>
      <c r="E11" s="13" t="s">
        <v>46</v>
      </c>
      <c r="F11" s="26">
        <v>55000</v>
      </c>
      <c r="G11" s="13" t="s">
        <v>47</v>
      </c>
      <c r="H11" s="13" t="s">
        <v>13</v>
      </c>
      <c r="I11" s="13" t="s">
        <v>95</v>
      </c>
      <c r="J11" s="13" t="s">
        <v>96</v>
      </c>
      <c r="K11" s="13">
        <v>6</v>
      </c>
      <c r="L11" s="14" t="s">
        <v>14</v>
      </c>
    </row>
    <row r="12" spans="1:12" x14ac:dyDescent="0.25">
      <c r="A12" s="9" t="s">
        <v>63</v>
      </c>
      <c r="B12" s="23">
        <v>46067</v>
      </c>
      <c r="C12" s="23" t="s">
        <v>94</v>
      </c>
      <c r="D12" s="10" t="s">
        <v>22</v>
      </c>
      <c r="E12" s="10" t="s">
        <v>64</v>
      </c>
      <c r="F12" s="24">
        <v>28000</v>
      </c>
      <c r="G12" s="10" t="s">
        <v>65</v>
      </c>
      <c r="H12" s="10" t="s">
        <v>13</v>
      </c>
      <c r="I12" s="10" t="s">
        <v>95</v>
      </c>
      <c r="J12" s="10" t="s">
        <v>96</v>
      </c>
      <c r="K12" s="10">
        <v>3</v>
      </c>
      <c r="L12" s="11" t="s">
        <v>14</v>
      </c>
    </row>
    <row r="13" spans="1:12" x14ac:dyDescent="0.25">
      <c r="A13" s="12" t="s">
        <v>66</v>
      </c>
      <c r="B13" s="25">
        <v>46068</v>
      </c>
      <c r="C13" s="25" t="s">
        <v>93</v>
      </c>
      <c r="D13" s="13" t="s">
        <v>32</v>
      </c>
      <c r="E13" s="13" t="s">
        <v>67</v>
      </c>
      <c r="F13" s="26">
        <v>2100</v>
      </c>
      <c r="G13" s="13" t="s">
        <v>68</v>
      </c>
      <c r="H13" s="13" t="s">
        <v>19</v>
      </c>
      <c r="I13" s="13" t="s">
        <v>97</v>
      </c>
      <c r="J13" s="13" t="s">
        <v>96</v>
      </c>
      <c r="K13" s="13">
        <v>2</v>
      </c>
      <c r="L13" s="14" t="s">
        <v>14</v>
      </c>
    </row>
    <row r="16" spans="1:12" x14ac:dyDescent="0.25">
      <c r="A16" s="18"/>
      <c r="B16" s="18"/>
      <c r="C16" s="18"/>
      <c r="D16" s="18"/>
      <c r="E16" s="18"/>
    </row>
    <row r="17" spans="1:5" x14ac:dyDescent="0.25">
      <c r="A17" s="19"/>
      <c r="B17" s="28"/>
      <c r="C17" s="28"/>
      <c r="D17" s="28"/>
      <c r="E17" s="28"/>
    </row>
    <row r="18" spans="1:5" x14ac:dyDescent="0.25">
      <c r="A18" s="19"/>
      <c r="B18" s="28"/>
      <c r="C18" s="28"/>
      <c r="D18" s="28"/>
      <c r="E18" s="28"/>
    </row>
    <row r="19" spans="1:5" x14ac:dyDescent="0.25">
      <c r="A19" s="19"/>
      <c r="B19" s="28"/>
      <c r="C19" s="28"/>
      <c r="D19" s="28"/>
      <c r="E19" s="28"/>
    </row>
    <row r="20" spans="1:5" x14ac:dyDescent="0.25">
      <c r="A20" s="19"/>
      <c r="B20" s="28"/>
      <c r="C20" s="28"/>
      <c r="D20" s="28"/>
      <c r="E20" s="28"/>
    </row>
    <row r="21" spans="1:5" x14ac:dyDescent="0.25">
      <c r="A21" s="19"/>
      <c r="B21" s="28"/>
      <c r="C21" s="28"/>
      <c r="D21" s="28"/>
      <c r="E21" s="28"/>
    </row>
    <row r="22" spans="1:5" x14ac:dyDescent="0.25">
      <c r="A22" s="19"/>
      <c r="B22" s="28"/>
      <c r="C22" s="28"/>
      <c r="D22" s="28"/>
      <c r="E22" s="28"/>
    </row>
    <row r="23" spans="1:5" x14ac:dyDescent="0.25">
      <c r="A23" s="19"/>
      <c r="B23" s="28"/>
      <c r="C23" s="28"/>
      <c r="D23" s="28"/>
      <c r="E23" s="28"/>
    </row>
    <row r="24" spans="1:5" x14ac:dyDescent="0.25">
      <c r="A24" s="19"/>
      <c r="B24" s="28"/>
      <c r="C24" s="28"/>
      <c r="D24" s="28"/>
      <c r="E24" s="28"/>
    </row>
    <row r="25" spans="1:5" x14ac:dyDescent="0.25">
      <c r="A25" s="19"/>
      <c r="B25" s="28"/>
      <c r="C25" s="28"/>
      <c r="D25" s="28"/>
      <c r="E25" s="28"/>
    </row>
    <row r="26" spans="1:5" x14ac:dyDescent="0.25">
      <c r="A26" s="19"/>
      <c r="B26" s="28"/>
      <c r="C26" s="28"/>
      <c r="D26" s="28"/>
      <c r="E26" s="28"/>
    </row>
    <row r="27" spans="1:5" x14ac:dyDescent="0.25">
      <c r="A27" s="19"/>
      <c r="B27" s="28"/>
      <c r="C27" s="28"/>
      <c r="D27" s="28"/>
      <c r="E27" s="28"/>
    </row>
    <row r="28" spans="1:5" x14ac:dyDescent="0.25">
      <c r="A28" s="19"/>
      <c r="B28" s="28"/>
      <c r="C28" s="28"/>
      <c r="D28" s="28"/>
      <c r="E28" s="28"/>
    </row>
    <row r="29" spans="1:5" x14ac:dyDescent="0.25">
      <c r="A29" s="19"/>
      <c r="B29" s="28"/>
      <c r="C29" s="28"/>
      <c r="D29" s="28"/>
      <c r="E29" s="28"/>
    </row>
    <row r="30" spans="1:5" x14ac:dyDescent="0.25">
      <c r="A30" s="19"/>
      <c r="B30" s="28"/>
      <c r="C30" s="28"/>
      <c r="D30" s="28"/>
      <c r="E30" s="28"/>
    </row>
    <row r="31" spans="1:5" x14ac:dyDescent="0.25">
      <c r="A31" s="19"/>
      <c r="B31" s="28"/>
      <c r="C31" s="28"/>
      <c r="D31" s="28"/>
      <c r="E31" s="28"/>
    </row>
    <row r="32" spans="1:5" x14ac:dyDescent="0.25">
      <c r="A32" s="19"/>
      <c r="B32" s="28"/>
      <c r="C32" s="28"/>
      <c r="D32" s="28"/>
      <c r="E32" s="28"/>
    </row>
    <row r="33" spans="1:5" x14ac:dyDescent="0.25">
      <c r="A33" s="19"/>
      <c r="B33" s="28"/>
      <c r="C33" s="28"/>
      <c r="D33" s="28"/>
      <c r="E33" s="28"/>
    </row>
    <row r="34" spans="1:5" x14ac:dyDescent="0.25">
      <c r="A34" s="19"/>
      <c r="B34" s="28"/>
      <c r="C34" s="28"/>
      <c r="D34" s="28"/>
      <c r="E34" s="28"/>
    </row>
    <row r="35" spans="1:5" x14ac:dyDescent="0.25">
      <c r="A35" s="19"/>
      <c r="B35" s="28"/>
      <c r="C35" s="28"/>
      <c r="D35" s="28"/>
      <c r="E35" s="28"/>
    </row>
    <row r="36" spans="1:5" x14ac:dyDescent="0.25">
      <c r="A36" s="19"/>
      <c r="B36" s="28"/>
      <c r="C36" s="28"/>
      <c r="D36" s="28"/>
      <c r="E36" s="28"/>
    </row>
    <row r="37" spans="1:5" x14ac:dyDescent="0.25">
      <c r="A37" s="29"/>
      <c r="B37" s="30"/>
      <c r="C37" s="30"/>
      <c r="D37" s="30"/>
      <c r="E37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A843-C301-4035-B298-0F0D9F79E5A9}">
  <dimension ref="A1:D107"/>
  <sheetViews>
    <sheetView topLeftCell="A82" workbookViewId="0">
      <selection activeCell="B97" sqref="B97"/>
    </sheetView>
  </sheetViews>
  <sheetFormatPr defaultRowHeight="15" x14ac:dyDescent="0.25"/>
  <cols>
    <col min="1" max="1" width="17.7109375" bestFit="1" customWidth="1"/>
    <col min="2" max="2" width="17.42578125" bestFit="1" customWidth="1"/>
    <col min="3" max="3" width="7.42578125" bestFit="1" customWidth="1"/>
    <col min="4" max="4" width="13.5703125" bestFit="1" customWidth="1"/>
    <col min="5" max="5" width="11.140625" bestFit="1" customWidth="1"/>
    <col min="6" max="6" width="15.42578125" bestFit="1" customWidth="1"/>
    <col min="7" max="7" width="13.7109375" bestFit="1" customWidth="1"/>
    <col min="8" max="8" width="15.28515625" bestFit="1" customWidth="1"/>
    <col min="9" max="9" width="10.42578125" bestFit="1" customWidth="1"/>
    <col min="10" max="10" width="13.7109375" bestFit="1" customWidth="1"/>
    <col min="11" max="11" width="16.7109375" bestFit="1" customWidth="1"/>
    <col min="12" max="12" width="13.5703125" bestFit="1" customWidth="1"/>
    <col min="13" max="13" width="15.85546875" bestFit="1" customWidth="1"/>
    <col min="14" max="14" width="16.7109375" bestFit="1" customWidth="1"/>
    <col min="15" max="15" width="15.140625" bestFit="1" customWidth="1"/>
    <col min="16" max="16" width="15.7109375" bestFit="1" customWidth="1"/>
    <col min="17" max="17" width="15.85546875" bestFit="1" customWidth="1"/>
    <col min="18" max="18" width="13.5703125" bestFit="1" customWidth="1"/>
    <col min="19" max="19" width="16" bestFit="1" customWidth="1"/>
    <col min="20" max="20" width="13.140625" bestFit="1" customWidth="1"/>
    <col min="21" max="21" width="9.140625" bestFit="1" customWidth="1"/>
    <col min="22" max="23" width="13.5703125" bestFit="1" customWidth="1"/>
    <col min="24" max="24" width="17.85546875" bestFit="1" customWidth="1"/>
    <col min="25" max="25" width="13.5703125" bestFit="1" customWidth="1"/>
    <col min="26" max="26" width="18.5703125" bestFit="1" customWidth="1"/>
    <col min="27" max="27" width="24" bestFit="1" customWidth="1"/>
    <col min="28" max="28" width="17" bestFit="1" customWidth="1"/>
    <col min="29" max="29" width="22.42578125" bestFit="1" customWidth="1"/>
    <col min="30" max="30" width="17.5703125" bestFit="1" customWidth="1"/>
    <col min="31" max="31" width="23" bestFit="1" customWidth="1"/>
    <col min="32" max="32" width="17.7109375" bestFit="1" customWidth="1"/>
    <col min="33" max="33" width="23.140625" bestFit="1" customWidth="1"/>
    <col min="34" max="34" width="15.42578125" bestFit="1" customWidth="1"/>
    <col min="35" max="35" width="20.7109375" bestFit="1" customWidth="1"/>
    <col min="36" max="36" width="17.85546875" bestFit="1" customWidth="1"/>
    <col min="37" max="37" width="23.28515625" bestFit="1" customWidth="1"/>
    <col min="38" max="38" width="15" bestFit="1" customWidth="1"/>
    <col min="39" max="39" width="20.28515625" bestFit="1" customWidth="1"/>
    <col min="40" max="40" width="11" bestFit="1" customWidth="1"/>
    <col min="41" max="41" width="16.28515625" bestFit="1" customWidth="1"/>
    <col min="42" max="42" width="13.5703125" bestFit="1" customWidth="1"/>
  </cols>
  <sheetData>
    <row r="1" spans="1:2" x14ac:dyDescent="0.25">
      <c r="A1" s="15" t="s">
        <v>90</v>
      </c>
      <c r="B1" t="s">
        <v>92</v>
      </c>
    </row>
    <row r="2" spans="1:2" x14ac:dyDescent="0.25">
      <c r="A2" s="16">
        <v>46054</v>
      </c>
      <c r="B2" s="17">
        <v>195000</v>
      </c>
    </row>
    <row r="3" spans="1:2" x14ac:dyDescent="0.25">
      <c r="A3" s="16">
        <v>46055</v>
      </c>
      <c r="B3" s="17">
        <v>8000</v>
      </c>
    </row>
    <row r="4" spans="1:2" x14ac:dyDescent="0.25">
      <c r="A4" s="16">
        <v>46056</v>
      </c>
      <c r="B4" s="17">
        <v>12000</v>
      </c>
    </row>
    <row r="5" spans="1:2" x14ac:dyDescent="0.25">
      <c r="A5" s="16">
        <v>46057</v>
      </c>
      <c r="B5" s="17">
        <v>3500</v>
      </c>
    </row>
    <row r="6" spans="1:2" x14ac:dyDescent="0.25">
      <c r="A6" s="16">
        <v>46058</v>
      </c>
      <c r="B6" s="17">
        <v>22000</v>
      </c>
    </row>
    <row r="7" spans="1:2" x14ac:dyDescent="0.25">
      <c r="A7" s="16">
        <v>46059</v>
      </c>
      <c r="B7" s="17">
        <v>1200</v>
      </c>
    </row>
    <row r="8" spans="1:2" x14ac:dyDescent="0.25">
      <c r="A8" s="16">
        <v>46060</v>
      </c>
      <c r="B8" s="17">
        <v>85000</v>
      </c>
    </row>
    <row r="9" spans="1:2" x14ac:dyDescent="0.25">
      <c r="A9" s="16">
        <v>46061</v>
      </c>
      <c r="B9" s="17">
        <v>55000</v>
      </c>
    </row>
    <row r="10" spans="1:2" x14ac:dyDescent="0.25">
      <c r="A10" s="16">
        <v>46062</v>
      </c>
      <c r="B10" s="17">
        <v>4200</v>
      </c>
    </row>
    <row r="11" spans="1:2" x14ac:dyDescent="0.25">
      <c r="A11" s="16">
        <v>46063</v>
      </c>
      <c r="B11" s="17">
        <v>7500</v>
      </c>
    </row>
    <row r="12" spans="1:2" x14ac:dyDescent="0.25">
      <c r="A12" s="16">
        <v>46064</v>
      </c>
      <c r="B12" s="17">
        <v>32000</v>
      </c>
    </row>
    <row r="13" spans="1:2" x14ac:dyDescent="0.25">
      <c r="A13" s="16">
        <v>46065</v>
      </c>
      <c r="B13" s="17">
        <v>125000</v>
      </c>
    </row>
    <row r="14" spans="1:2" x14ac:dyDescent="0.25">
      <c r="A14" s="16">
        <v>46066</v>
      </c>
      <c r="B14" s="17">
        <v>15000</v>
      </c>
    </row>
    <row r="15" spans="1:2" x14ac:dyDescent="0.25">
      <c r="A15" s="16">
        <v>46067</v>
      </c>
      <c r="B15" s="17">
        <v>28000</v>
      </c>
    </row>
    <row r="16" spans="1:2" x14ac:dyDescent="0.25">
      <c r="A16" s="16">
        <v>46068</v>
      </c>
      <c r="B16" s="17">
        <v>2100</v>
      </c>
    </row>
    <row r="17" spans="1:2" x14ac:dyDescent="0.25">
      <c r="A17" s="16">
        <v>46069</v>
      </c>
      <c r="B17" s="17">
        <v>95000</v>
      </c>
    </row>
    <row r="18" spans="1:2" x14ac:dyDescent="0.25">
      <c r="A18" s="16">
        <v>46070</v>
      </c>
      <c r="B18" s="17">
        <v>48000</v>
      </c>
    </row>
    <row r="19" spans="1:2" x14ac:dyDescent="0.25">
      <c r="A19" s="16">
        <v>46071</v>
      </c>
      <c r="B19" s="17">
        <v>62000</v>
      </c>
    </row>
    <row r="20" spans="1:2" x14ac:dyDescent="0.25">
      <c r="A20" s="16">
        <v>46072</v>
      </c>
      <c r="B20" s="17">
        <v>9000</v>
      </c>
    </row>
    <row r="21" spans="1:2" x14ac:dyDescent="0.25">
      <c r="A21" s="16" t="s">
        <v>91</v>
      </c>
      <c r="B21" s="17">
        <v>809500</v>
      </c>
    </row>
    <row r="23" spans="1:2" x14ac:dyDescent="0.25">
      <c r="A23" s="15" t="s">
        <v>90</v>
      </c>
      <c r="B23" t="s">
        <v>92</v>
      </c>
    </row>
    <row r="24" spans="1:2" x14ac:dyDescent="0.25">
      <c r="A24" s="19">
        <v>1</v>
      </c>
      <c r="B24" s="20">
        <v>1.4823965410747375E-3</v>
      </c>
    </row>
    <row r="25" spans="1:2" x14ac:dyDescent="0.25">
      <c r="A25" s="19">
        <v>2</v>
      </c>
      <c r="B25" s="20">
        <v>0.19715873996294009</v>
      </c>
    </row>
    <row r="26" spans="1:2" x14ac:dyDescent="0.25">
      <c r="A26" s="19">
        <v>3</v>
      </c>
      <c r="B26" s="20">
        <v>5.0030883261272391E-2</v>
      </c>
    </row>
    <row r="27" spans="1:2" x14ac:dyDescent="0.25">
      <c r="A27" s="19">
        <v>4</v>
      </c>
      <c r="B27" s="20">
        <v>6.7943174799258807E-2</v>
      </c>
    </row>
    <row r="28" spans="1:2" x14ac:dyDescent="0.25">
      <c r="A28" s="19">
        <v>5</v>
      </c>
      <c r="B28" s="20">
        <v>9.1661519456454607E-2</v>
      </c>
    </row>
    <row r="29" spans="1:2" x14ac:dyDescent="0.25">
      <c r="A29" s="19">
        <v>6</v>
      </c>
      <c r="B29" s="20">
        <v>6.7943174799258807E-2</v>
      </c>
    </row>
    <row r="30" spans="1:2" x14ac:dyDescent="0.25">
      <c r="A30" s="19">
        <v>7</v>
      </c>
      <c r="B30" s="20">
        <v>0.17294626312538605</v>
      </c>
    </row>
    <row r="31" spans="1:2" x14ac:dyDescent="0.25">
      <c r="A31" s="19">
        <v>8</v>
      </c>
      <c r="B31" s="20">
        <v>0.18159357628165534</v>
      </c>
    </row>
    <row r="32" spans="1:2" x14ac:dyDescent="0.25">
      <c r="A32" s="19">
        <v>9</v>
      </c>
      <c r="B32" s="20">
        <v>1.4823965410747375E-2</v>
      </c>
    </row>
    <row r="33" spans="1:2" x14ac:dyDescent="0.25">
      <c r="A33" s="19">
        <v>10</v>
      </c>
      <c r="B33" s="20">
        <v>0.15441630636195183</v>
      </c>
    </row>
    <row r="34" spans="1:2" x14ac:dyDescent="0.25">
      <c r="A34" s="19" t="s">
        <v>91</v>
      </c>
      <c r="B34" s="20">
        <v>1</v>
      </c>
    </row>
    <row r="36" spans="1:2" x14ac:dyDescent="0.25">
      <c r="A36" s="15" t="s">
        <v>90</v>
      </c>
      <c r="B36" t="s">
        <v>92</v>
      </c>
    </row>
    <row r="37" spans="1:2" x14ac:dyDescent="0.25">
      <c r="A37" s="16">
        <v>46054</v>
      </c>
      <c r="B37" s="17">
        <v>195000</v>
      </c>
    </row>
    <row r="38" spans="1:2" x14ac:dyDescent="0.25">
      <c r="A38" s="21" t="s">
        <v>93</v>
      </c>
      <c r="B38" s="17">
        <v>195000</v>
      </c>
    </row>
    <row r="39" spans="1:2" x14ac:dyDescent="0.25">
      <c r="A39" s="16">
        <v>46060</v>
      </c>
      <c r="B39" s="17">
        <v>85000</v>
      </c>
    </row>
    <row r="40" spans="1:2" x14ac:dyDescent="0.25">
      <c r="A40" s="21" t="s">
        <v>94</v>
      </c>
      <c r="B40" s="17">
        <v>85000</v>
      </c>
    </row>
    <row r="41" spans="1:2" x14ac:dyDescent="0.25">
      <c r="A41" s="16">
        <v>46061</v>
      </c>
      <c r="B41" s="17">
        <v>55000</v>
      </c>
    </row>
    <row r="42" spans="1:2" x14ac:dyDescent="0.25">
      <c r="A42" s="21" t="s">
        <v>93</v>
      </c>
      <c r="B42" s="17">
        <v>55000</v>
      </c>
    </row>
    <row r="43" spans="1:2" x14ac:dyDescent="0.25">
      <c r="A43" s="16">
        <v>46067</v>
      </c>
      <c r="B43" s="17">
        <v>28000</v>
      </c>
    </row>
    <row r="44" spans="1:2" x14ac:dyDescent="0.25">
      <c r="A44" s="21" t="s">
        <v>94</v>
      </c>
      <c r="B44" s="17">
        <v>28000</v>
      </c>
    </row>
    <row r="45" spans="1:2" x14ac:dyDescent="0.25">
      <c r="A45" s="16">
        <v>46068</v>
      </c>
      <c r="B45" s="17">
        <v>2100</v>
      </c>
    </row>
    <row r="46" spans="1:2" x14ac:dyDescent="0.25">
      <c r="A46" s="21" t="s">
        <v>93</v>
      </c>
      <c r="B46" s="17">
        <v>2100</v>
      </c>
    </row>
    <row r="47" spans="1:2" x14ac:dyDescent="0.25">
      <c r="A47" s="16" t="s">
        <v>91</v>
      </c>
      <c r="B47" s="17">
        <v>365100</v>
      </c>
    </row>
    <row r="49" spans="1:2" x14ac:dyDescent="0.25">
      <c r="A49" s="15" t="s">
        <v>90</v>
      </c>
      <c r="B49" t="s">
        <v>92</v>
      </c>
    </row>
    <row r="50" spans="1:2" x14ac:dyDescent="0.25">
      <c r="A50" s="19" t="s">
        <v>11</v>
      </c>
      <c r="B50" s="17">
        <v>150000</v>
      </c>
    </row>
    <row r="51" spans="1:2" x14ac:dyDescent="0.25">
      <c r="A51" s="19" t="s">
        <v>58</v>
      </c>
      <c r="B51" s="17">
        <v>125000</v>
      </c>
    </row>
    <row r="52" spans="1:2" x14ac:dyDescent="0.25">
      <c r="A52" s="19" t="s">
        <v>70</v>
      </c>
      <c r="B52" s="17">
        <v>95000</v>
      </c>
    </row>
    <row r="53" spans="1:2" x14ac:dyDescent="0.25">
      <c r="A53" s="19" t="s">
        <v>43</v>
      </c>
      <c r="B53" s="17">
        <v>85000</v>
      </c>
    </row>
    <row r="54" spans="1:2" x14ac:dyDescent="0.25">
      <c r="A54" s="19" t="s">
        <v>76</v>
      </c>
      <c r="B54" s="17">
        <v>62000</v>
      </c>
    </row>
    <row r="55" spans="1:2" x14ac:dyDescent="0.25">
      <c r="A55" s="19" t="s">
        <v>46</v>
      </c>
      <c r="B55" s="17">
        <v>55000</v>
      </c>
    </row>
    <row r="56" spans="1:2" x14ac:dyDescent="0.25">
      <c r="A56" s="19" t="s">
        <v>73</v>
      </c>
      <c r="B56" s="17">
        <v>48000</v>
      </c>
    </row>
    <row r="57" spans="1:2" x14ac:dyDescent="0.25">
      <c r="A57" s="19" t="s">
        <v>17</v>
      </c>
      <c r="B57" s="17">
        <v>45000</v>
      </c>
    </row>
    <row r="58" spans="1:2" x14ac:dyDescent="0.25">
      <c r="A58" s="19" t="s">
        <v>55</v>
      </c>
      <c r="B58" s="17">
        <v>32000</v>
      </c>
    </row>
    <row r="59" spans="1:2" x14ac:dyDescent="0.25">
      <c r="A59" s="19" t="s">
        <v>64</v>
      </c>
      <c r="B59" s="17">
        <v>28000</v>
      </c>
    </row>
    <row r="60" spans="1:2" x14ac:dyDescent="0.25">
      <c r="A60" s="19" t="s">
        <v>37</v>
      </c>
      <c r="B60" s="17">
        <v>22000</v>
      </c>
    </row>
    <row r="61" spans="1:2" x14ac:dyDescent="0.25">
      <c r="A61" s="19" t="s">
        <v>61</v>
      </c>
      <c r="B61" s="17">
        <v>15000</v>
      </c>
    </row>
    <row r="62" spans="1:2" x14ac:dyDescent="0.25">
      <c r="A62" s="19" t="s">
        <v>27</v>
      </c>
      <c r="B62" s="17">
        <v>12000</v>
      </c>
    </row>
    <row r="63" spans="1:2" x14ac:dyDescent="0.25">
      <c r="A63" s="19" t="s">
        <v>79</v>
      </c>
      <c r="B63" s="17">
        <v>9000</v>
      </c>
    </row>
    <row r="64" spans="1:2" x14ac:dyDescent="0.25">
      <c r="A64" s="19" t="s">
        <v>23</v>
      </c>
      <c r="B64" s="17">
        <v>8000</v>
      </c>
    </row>
    <row r="65" spans="1:2" x14ac:dyDescent="0.25">
      <c r="A65" s="19" t="s">
        <v>52</v>
      </c>
      <c r="B65" s="17">
        <v>7500</v>
      </c>
    </row>
    <row r="66" spans="1:2" x14ac:dyDescent="0.25">
      <c r="A66" s="19" t="s">
        <v>49</v>
      </c>
      <c r="B66" s="17">
        <v>4200</v>
      </c>
    </row>
    <row r="67" spans="1:2" x14ac:dyDescent="0.25">
      <c r="A67" s="19" t="s">
        <v>33</v>
      </c>
      <c r="B67" s="17">
        <v>3500</v>
      </c>
    </row>
    <row r="68" spans="1:2" x14ac:dyDescent="0.25">
      <c r="A68" s="19" t="s">
        <v>67</v>
      </c>
      <c r="B68" s="17">
        <v>2100</v>
      </c>
    </row>
    <row r="69" spans="1:2" x14ac:dyDescent="0.25">
      <c r="A69" s="19" t="s">
        <v>40</v>
      </c>
      <c r="B69" s="17">
        <v>1200</v>
      </c>
    </row>
    <row r="70" spans="1:2" x14ac:dyDescent="0.25">
      <c r="A70" s="19" t="s">
        <v>91</v>
      </c>
      <c r="B70" s="17">
        <v>809500</v>
      </c>
    </row>
    <row r="72" spans="1:2" x14ac:dyDescent="0.25">
      <c r="A72" s="15" t="s">
        <v>90</v>
      </c>
      <c r="B72" t="s">
        <v>100</v>
      </c>
    </row>
    <row r="73" spans="1:2" x14ac:dyDescent="0.25">
      <c r="A73" s="19" t="s">
        <v>28</v>
      </c>
      <c r="B73" s="28">
        <v>1</v>
      </c>
    </row>
    <row r="74" spans="1:2" x14ac:dyDescent="0.25">
      <c r="A74" s="19" t="s">
        <v>62</v>
      </c>
      <c r="B74" s="28">
        <v>1</v>
      </c>
    </row>
    <row r="75" spans="1:2" x14ac:dyDescent="0.25">
      <c r="A75" s="19" t="s">
        <v>59</v>
      </c>
      <c r="B75" s="28">
        <v>1</v>
      </c>
    </row>
    <row r="76" spans="1:2" x14ac:dyDescent="0.25">
      <c r="A76" s="19" t="s">
        <v>65</v>
      </c>
      <c r="B76" s="28">
        <v>1</v>
      </c>
    </row>
    <row r="77" spans="1:2" x14ac:dyDescent="0.25">
      <c r="A77" s="19" t="s">
        <v>47</v>
      </c>
      <c r="B77" s="28">
        <v>1</v>
      </c>
    </row>
    <row r="78" spans="1:2" x14ac:dyDescent="0.25">
      <c r="A78" s="19" t="s">
        <v>71</v>
      </c>
      <c r="B78" s="28">
        <v>1</v>
      </c>
    </row>
    <row r="79" spans="1:2" x14ac:dyDescent="0.25">
      <c r="A79" s="19" t="s">
        <v>80</v>
      </c>
      <c r="B79" s="28">
        <v>1</v>
      </c>
    </row>
    <row r="80" spans="1:2" x14ac:dyDescent="0.25">
      <c r="A80" s="19" t="s">
        <v>74</v>
      </c>
      <c r="B80" s="28">
        <v>1</v>
      </c>
    </row>
    <row r="81" spans="1:4" x14ac:dyDescent="0.25">
      <c r="A81" s="19" t="s">
        <v>53</v>
      </c>
      <c r="B81" s="28">
        <v>1</v>
      </c>
    </row>
    <row r="82" spans="1:4" x14ac:dyDescent="0.25">
      <c r="A82" s="19" t="s">
        <v>41</v>
      </c>
      <c r="B82" s="28">
        <v>1</v>
      </c>
    </row>
    <row r="83" spans="1:4" x14ac:dyDescent="0.25">
      <c r="A83" s="19" t="s">
        <v>38</v>
      </c>
      <c r="B83" s="28">
        <v>1</v>
      </c>
    </row>
    <row r="84" spans="1:4" x14ac:dyDescent="0.25">
      <c r="A84" s="19" t="s">
        <v>77</v>
      </c>
      <c r="B84" s="28">
        <v>1</v>
      </c>
    </row>
    <row r="85" spans="1:4" x14ac:dyDescent="0.25">
      <c r="A85" s="19" t="s">
        <v>44</v>
      </c>
      <c r="B85" s="28">
        <v>1</v>
      </c>
    </row>
    <row r="86" spans="1:4" x14ac:dyDescent="0.25">
      <c r="A86" s="19" t="s">
        <v>34</v>
      </c>
      <c r="B86" s="28">
        <v>1</v>
      </c>
    </row>
    <row r="87" spans="1:4" x14ac:dyDescent="0.25">
      <c r="A87" s="19" t="s">
        <v>68</v>
      </c>
      <c r="B87" s="28">
        <v>1</v>
      </c>
    </row>
    <row r="88" spans="1:4" x14ac:dyDescent="0.25">
      <c r="A88" s="19" t="s">
        <v>50</v>
      </c>
      <c r="B88" s="28">
        <v>1</v>
      </c>
    </row>
    <row r="89" spans="1:4" x14ac:dyDescent="0.25">
      <c r="A89" s="19" t="s">
        <v>56</v>
      </c>
      <c r="B89" s="28">
        <v>1</v>
      </c>
    </row>
    <row r="90" spans="1:4" x14ac:dyDescent="0.25">
      <c r="A90" s="19" t="s">
        <v>18</v>
      </c>
      <c r="B90" s="28">
        <v>1</v>
      </c>
    </row>
    <row r="91" spans="1:4" x14ac:dyDescent="0.25">
      <c r="A91" s="19" t="s">
        <v>24</v>
      </c>
      <c r="B91" s="28">
        <v>1</v>
      </c>
    </row>
    <row r="92" spans="1:4" x14ac:dyDescent="0.25">
      <c r="A92" s="19" t="s">
        <v>12</v>
      </c>
      <c r="B92" s="28">
        <v>1</v>
      </c>
    </row>
    <row r="93" spans="1:4" x14ac:dyDescent="0.25">
      <c r="A93" s="19" t="s">
        <v>91</v>
      </c>
      <c r="B93" s="28">
        <v>20</v>
      </c>
    </row>
    <row r="95" spans="1:4" x14ac:dyDescent="0.25">
      <c r="A95" s="15" t="s">
        <v>99</v>
      </c>
      <c r="B95" s="15" t="s">
        <v>98</v>
      </c>
    </row>
    <row r="96" spans="1:4" x14ac:dyDescent="0.25">
      <c r="A96" s="15" t="s">
        <v>90</v>
      </c>
      <c r="B96" t="s">
        <v>13</v>
      </c>
      <c r="C96" t="s">
        <v>19</v>
      </c>
      <c r="D96" t="s">
        <v>91</v>
      </c>
    </row>
    <row r="97" spans="1:4" x14ac:dyDescent="0.25">
      <c r="A97" s="16">
        <v>46054</v>
      </c>
      <c r="B97" s="28">
        <v>2</v>
      </c>
      <c r="C97" s="28">
        <v>7</v>
      </c>
      <c r="D97" s="28">
        <v>9</v>
      </c>
    </row>
    <row r="98" spans="1:4" x14ac:dyDescent="0.25">
      <c r="A98" s="21" t="s">
        <v>93</v>
      </c>
      <c r="B98" s="28">
        <v>2</v>
      </c>
      <c r="C98" s="28">
        <v>7</v>
      </c>
      <c r="D98" s="28">
        <v>9</v>
      </c>
    </row>
    <row r="99" spans="1:4" x14ac:dyDescent="0.25">
      <c r="A99" s="16">
        <v>46060</v>
      </c>
      <c r="B99" s="28"/>
      <c r="C99" s="28">
        <v>8</v>
      </c>
      <c r="D99" s="28">
        <v>8</v>
      </c>
    </row>
    <row r="100" spans="1:4" x14ac:dyDescent="0.25">
      <c r="A100" s="21" t="s">
        <v>94</v>
      </c>
      <c r="B100" s="28"/>
      <c r="C100" s="28">
        <v>8</v>
      </c>
      <c r="D100" s="28">
        <v>8</v>
      </c>
    </row>
    <row r="101" spans="1:4" x14ac:dyDescent="0.25">
      <c r="A101" s="16">
        <v>46061</v>
      </c>
      <c r="B101" s="28">
        <v>6</v>
      </c>
      <c r="C101" s="28"/>
      <c r="D101" s="28">
        <v>6</v>
      </c>
    </row>
    <row r="102" spans="1:4" x14ac:dyDescent="0.25">
      <c r="A102" s="21" t="s">
        <v>93</v>
      </c>
      <c r="B102" s="28">
        <v>6</v>
      </c>
      <c r="C102" s="28"/>
      <c r="D102" s="28">
        <v>6</v>
      </c>
    </row>
    <row r="103" spans="1:4" x14ac:dyDescent="0.25">
      <c r="A103" s="16">
        <v>46067</v>
      </c>
      <c r="B103" s="28">
        <v>3</v>
      </c>
      <c r="C103" s="28"/>
      <c r="D103" s="28">
        <v>3</v>
      </c>
    </row>
    <row r="104" spans="1:4" x14ac:dyDescent="0.25">
      <c r="A104" s="21" t="s">
        <v>94</v>
      </c>
      <c r="B104" s="28">
        <v>3</v>
      </c>
      <c r="C104" s="28"/>
      <c r="D104" s="28">
        <v>3</v>
      </c>
    </row>
    <row r="105" spans="1:4" x14ac:dyDescent="0.25">
      <c r="A105" s="16">
        <v>46068</v>
      </c>
      <c r="B105" s="28"/>
      <c r="C105" s="28">
        <v>2</v>
      </c>
      <c r="D105" s="28">
        <v>2</v>
      </c>
    </row>
    <row r="106" spans="1:4" x14ac:dyDescent="0.25">
      <c r="A106" s="21" t="s">
        <v>93</v>
      </c>
      <c r="B106" s="28"/>
      <c r="C106" s="28">
        <v>2</v>
      </c>
      <c r="D106" s="28">
        <v>2</v>
      </c>
    </row>
    <row r="107" spans="1:4" x14ac:dyDescent="0.25">
      <c r="A107" s="16" t="s">
        <v>91</v>
      </c>
      <c r="B107" s="28">
        <v>11</v>
      </c>
      <c r="C107" s="28">
        <v>17</v>
      </c>
      <c r="D107" s="28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1E21-AFFC-4B86-A454-88C308AE1D6D}">
  <dimension ref="A1"/>
  <sheetViews>
    <sheetView showGridLines="0" tabSelected="1" workbookViewId="0">
      <selection activeCell="AE2" sqref="AE2"/>
    </sheetView>
  </sheetViews>
  <sheetFormatPr defaultRowHeight="15" x14ac:dyDescent="0.25"/>
  <cols>
    <col min="1" max="16384" width="9.140625" style="22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612164-292B-45C1-AE6A-C0C447F4A8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Denetim Veri Seti</vt:lpstr>
      <vt:lpstr>yetki limitleri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DENIZ KAN</dc:creator>
  <cp:lastModifiedBy>JASMIN DENIZ KAN</cp:lastModifiedBy>
  <dcterms:created xsi:type="dcterms:W3CDTF">2026-02-23T10:13:25Z</dcterms:created>
  <dcterms:modified xsi:type="dcterms:W3CDTF">2026-02-23T19:07:20Z</dcterms:modified>
</cp:coreProperties>
</file>