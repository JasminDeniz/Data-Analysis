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sper\Documents\Github Dashboard\"/>
    </mc:Choice>
  </mc:AlternateContent>
  <xr:revisionPtr revIDLastSave="0" documentId="13_ncr:1_{007C2425-68DA-43CF-80C2-BF9C4D11CADF}" xr6:coauthVersionLast="47" xr6:coauthVersionMax="47" xr10:uidLastSave="{00000000-0000-0000-0000-000000000000}"/>
  <bookViews>
    <workbookView xWindow="-120" yWindow="-120" windowWidth="20730" windowHeight="11160" activeTab="2" xr2:uid="{B38181D2-3548-4A5A-AFDA-7ECE05E0C73B}"/>
  </bookViews>
  <sheets>
    <sheet name="tablo" sheetId="1" r:id="rId1"/>
    <sheet name="pivot" sheetId="2" r:id="rId2"/>
    <sheet name="dashboard" sheetId="3" r:id="rId3"/>
  </sheets>
  <definedNames>
    <definedName name="_xlnm._FilterDatabase" localSheetId="0" hidden="1">tablo!$A$1:$J$21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</calcChain>
</file>

<file path=xl/sharedStrings.xml><?xml version="1.0" encoding="utf-8"?>
<sst xmlns="http://schemas.openxmlformats.org/spreadsheetml/2006/main" count="259" uniqueCount="57">
  <si>
    <t>Tarih</t>
  </si>
  <si>
    <t>Gün</t>
  </si>
  <si>
    <t>Pazartesi</t>
  </si>
  <si>
    <t>Salı</t>
  </si>
  <si>
    <t>Çarşamba</t>
  </si>
  <si>
    <t>Perşembe</t>
  </si>
  <si>
    <t>Cuma</t>
  </si>
  <si>
    <t>Cumartesi</t>
  </si>
  <si>
    <t>Pazar</t>
  </si>
  <si>
    <t>Saat</t>
  </si>
  <si>
    <t>Müşteri Adı</t>
  </si>
  <si>
    <t>Ayşe Yılmaz</t>
  </si>
  <si>
    <t>Mehmet Kaya</t>
  </si>
  <si>
    <t>Zeynep Demir</t>
  </si>
  <si>
    <t>Ece Öztürk</t>
  </si>
  <si>
    <t>Can Polat</t>
  </si>
  <si>
    <t>Aslı Karaca</t>
  </si>
  <si>
    <t>Kerem Aktaş</t>
  </si>
  <si>
    <t>Deniz Acar</t>
  </si>
  <si>
    <t>Fatma Güneş</t>
  </si>
  <si>
    <t>Emre Telli</t>
  </si>
  <si>
    <t>Selin Korkmaz</t>
  </si>
  <si>
    <t>Murat Yıldız</t>
  </si>
  <si>
    <t>Gizem Çelik</t>
  </si>
  <si>
    <t>Yapılan İşlem</t>
  </si>
  <si>
    <t>Saç Kesimi</t>
  </si>
  <si>
    <t>Sakal Tıraşı</t>
  </si>
  <si>
    <t>Fön</t>
  </si>
  <si>
    <t>Manikür</t>
  </si>
  <si>
    <t>Dip Boya</t>
  </si>
  <si>
    <t>Ombre / Balyaj</t>
  </si>
  <si>
    <t>Kalıcı Oje</t>
  </si>
  <si>
    <t>Kaş Alımı</t>
  </si>
  <si>
    <t>Topuz</t>
  </si>
  <si>
    <t>Keratin Bakımı</t>
  </si>
  <si>
    <t>Pedikür</t>
  </si>
  <si>
    <t>Saç Yıkama</t>
  </si>
  <si>
    <t>İşlem Fiyatı (TL)</t>
  </si>
  <si>
    <t>Miktar (Adet)</t>
  </si>
  <si>
    <t>Toplam Tutar (TL)</t>
  </si>
  <si>
    <t>Personel</t>
  </si>
  <si>
    <t>Ali</t>
  </si>
  <si>
    <t>Burak</t>
  </si>
  <si>
    <t>Ceren</t>
  </si>
  <si>
    <t>Notlar (Opsiyonel)</t>
  </si>
  <si>
    <t>-</t>
  </si>
  <si>
    <t>Uzun Saç</t>
  </si>
  <si>
    <t>Yoğun İşlem</t>
  </si>
  <si>
    <t>Düğün Hazırlığı</t>
  </si>
  <si>
    <t>Berra Selin Yılmaz</t>
  </si>
  <si>
    <t>Satır Etiketleri</t>
  </si>
  <si>
    <t>Genel Toplam</t>
  </si>
  <si>
    <t>Toplam İşlem Fiyatı (TL)</t>
  </si>
  <si>
    <t>Say Yapılan İşlem</t>
  </si>
  <si>
    <t>Toplam Toplam Tutar (TL)</t>
  </si>
  <si>
    <t>Sütun Etiketleri</t>
  </si>
  <si>
    <t>Toplam Miktar (Adet)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</si>
</sst>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0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8BD6F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4" fontId="1" fillId="0" borderId="1" xfId="0" applyNumberFormat="1" applyFont="1" applyBorder="1" applyAlignment="1">
      <alignment horizontal="right"/>
    </xf>
    <xf numFmtId="20" fontId="1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9FD7"/>
      <color rgb="FF8BD6F1"/>
      <color rgb="FF69D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[Kuaför Veri Seti.xlsx]pivot!PivotTable1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pivot!$A$4:$A$16</c:f>
              <c:strCache>
                <c:ptCount val="12"/>
                <c:pt idx="0">
                  <c:v>Saç Yıkama</c:v>
                </c:pt>
                <c:pt idx="1">
                  <c:v>Kaş Alımı</c:v>
                </c:pt>
                <c:pt idx="2">
                  <c:v>Pedikür</c:v>
                </c:pt>
                <c:pt idx="3">
                  <c:v>Kalıcı Oje</c:v>
                </c:pt>
                <c:pt idx="4">
                  <c:v>Sakal Tıraşı</c:v>
                </c:pt>
                <c:pt idx="5">
                  <c:v>Fön</c:v>
                </c:pt>
                <c:pt idx="6">
                  <c:v>Manikür</c:v>
                </c:pt>
                <c:pt idx="7">
                  <c:v>Topuz</c:v>
                </c:pt>
                <c:pt idx="8">
                  <c:v>Dip Boya</c:v>
                </c:pt>
                <c:pt idx="9">
                  <c:v>Keratin Bakımı</c:v>
                </c:pt>
                <c:pt idx="10">
                  <c:v>Saç Kesimi</c:v>
                </c:pt>
                <c:pt idx="11">
                  <c:v>Ombre / Balyaj</c:v>
                </c:pt>
              </c:strCache>
            </c:strRef>
          </c:cat>
          <c:val>
            <c:numRef>
              <c:f>pivot!$B$4:$B$16</c:f>
              <c:numCache>
                <c:formatCode>General</c:formatCode>
                <c:ptCount val="12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600</c:v>
                </c:pt>
                <c:pt idx="4">
                  <c:v>600</c:v>
                </c:pt>
                <c:pt idx="5">
                  <c:v>750</c:v>
                </c:pt>
                <c:pt idx="6">
                  <c:v>800</c:v>
                </c:pt>
                <c:pt idx="7">
                  <c:v>900</c:v>
                </c:pt>
                <c:pt idx="8">
                  <c:v>1500</c:v>
                </c:pt>
                <c:pt idx="9">
                  <c:v>3000</c:v>
                </c:pt>
                <c:pt idx="10">
                  <c:v>3750</c:v>
                </c:pt>
                <c:pt idx="1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C-4D6A-A06A-BA4BAD965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6209327"/>
        <c:axId val="1166191087"/>
      </c:barChart>
      <c:catAx>
        <c:axId val="1166209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66191087"/>
        <c:crosses val="autoZero"/>
        <c:auto val="1"/>
        <c:lblAlgn val="ctr"/>
        <c:lblOffset val="100"/>
        <c:noMultiLvlLbl val="0"/>
      </c:catAx>
      <c:valAx>
        <c:axId val="1166191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6620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[Kuaför Veri Seti.xlsx]pivot!PivotTable2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Günlere</a:t>
            </a:r>
            <a:r>
              <a:rPr lang="tr-TR" baseline="0"/>
              <a:t> Göre Yapılan İşlem Grafiği</a:t>
            </a:r>
            <a:endParaRPr lang="en-US"/>
          </a:p>
        </c:rich>
      </c:tx>
      <c:layout>
        <c:manualLayout>
          <c:xMode val="edge"/>
          <c:yMode val="edge"/>
          <c:x val="2.8659667541557316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pivot!$B$18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pivot!$A$19:$A$26</c:f>
              <c:strCache>
                <c:ptCount val="7"/>
                <c:pt idx="0">
                  <c:v>Pazartesi</c:v>
                </c:pt>
                <c:pt idx="1">
                  <c:v>Salı</c:v>
                </c:pt>
                <c:pt idx="2">
                  <c:v>Çarşamba</c:v>
                </c:pt>
                <c:pt idx="3">
                  <c:v>Perşembe</c:v>
                </c:pt>
                <c:pt idx="4">
                  <c:v>Cuma</c:v>
                </c:pt>
                <c:pt idx="5">
                  <c:v>Cumartesi</c:v>
                </c:pt>
                <c:pt idx="6">
                  <c:v>Pazar</c:v>
                </c:pt>
              </c:strCache>
            </c:strRef>
          </c:cat>
          <c:val>
            <c:numRef>
              <c:f>pivot!$B$19:$B$26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85-437C-814F-0A97C4D15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1728880"/>
        <c:axId val="1431731280"/>
      </c:lineChart>
      <c:catAx>
        <c:axId val="1431728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1731280"/>
        <c:crosses val="autoZero"/>
        <c:auto val="1"/>
        <c:lblAlgn val="ctr"/>
        <c:lblOffset val="100"/>
        <c:noMultiLvlLbl val="0"/>
      </c:catAx>
      <c:valAx>
        <c:axId val="1431731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3172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[Kuaför Veri Seti.xlsx]pivot!PivotTable3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Günlere</a:t>
            </a:r>
            <a:r>
              <a:rPr lang="tr-TR" baseline="0"/>
              <a:t> Göre Yapılan İşlem Tutarı</a:t>
            </a:r>
            <a:endParaRPr lang="en-US"/>
          </a:p>
        </c:rich>
      </c:tx>
      <c:layout>
        <c:manualLayout>
          <c:xMode val="edge"/>
          <c:yMode val="edge"/>
          <c:x val="2.1819335083114625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pivot!$B$28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pivot!$A$29:$A$36</c:f>
              <c:strCache>
                <c:ptCount val="7"/>
                <c:pt idx="0">
                  <c:v>Pazartesi</c:v>
                </c:pt>
                <c:pt idx="1">
                  <c:v>Salı</c:v>
                </c:pt>
                <c:pt idx="2">
                  <c:v>Çarşamba</c:v>
                </c:pt>
                <c:pt idx="3">
                  <c:v>Perşembe</c:v>
                </c:pt>
                <c:pt idx="4">
                  <c:v>Cuma</c:v>
                </c:pt>
                <c:pt idx="5">
                  <c:v>Cumartesi</c:v>
                </c:pt>
                <c:pt idx="6">
                  <c:v>Pazar</c:v>
                </c:pt>
              </c:strCache>
            </c:strRef>
          </c:cat>
          <c:val>
            <c:numRef>
              <c:f>pivot!$B$29:$B$36</c:f>
              <c:numCache>
                <c:formatCode>General</c:formatCode>
                <c:ptCount val="7"/>
                <c:pt idx="0">
                  <c:v>1700</c:v>
                </c:pt>
                <c:pt idx="1">
                  <c:v>7250</c:v>
                </c:pt>
                <c:pt idx="2">
                  <c:v>2100</c:v>
                </c:pt>
                <c:pt idx="3">
                  <c:v>450</c:v>
                </c:pt>
                <c:pt idx="4">
                  <c:v>4650</c:v>
                </c:pt>
                <c:pt idx="5">
                  <c:v>1450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D-41D1-AF24-CE3EA5E71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1724080"/>
        <c:axId val="1431737040"/>
      </c:lineChart>
      <c:catAx>
        <c:axId val="1431724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1737040"/>
        <c:crosses val="autoZero"/>
        <c:auto val="1"/>
        <c:lblAlgn val="ctr"/>
        <c:lblOffset val="100"/>
        <c:noMultiLvlLbl val="0"/>
      </c:catAx>
      <c:valAx>
        <c:axId val="14317370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3172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[Kuaför Veri Seti.xlsx]pivot!PivotTable4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Bir</a:t>
            </a:r>
            <a:r>
              <a:rPr lang="tr-TR" baseline="0"/>
              <a:t> Haftada Yapılan İşlemlerin Sayısı</a:t>
            </a:r>
            <a:endParaRPr lang="en-US"/>
          </a:p>
        </c:rich>
      </c:tx>
      <c:layout>
        <c:manualLayout>
          <c:xMode val="edge"/>
          <c:yMode val="edge"/>
          <c:x val="1.2930446194225731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pivot!$B$38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pivot!$A$39:$A$51</c:f>
              <c:strCache>
                <c:ptCount val="12"/>
                <c:pt idx="0">
                  <c:v>Dip Boya</c:v>
                </c:pt>
                <c:pt idx="1">
                  <c:v>Fön</c:v>
                </c:pt>
                <c:pt idx="2">
                  <c:v>Kalıcı Oje</c:v>
                </c:pt>
                <c:pt idx="3">
                  <c:v>Kaş Alımı</c:v>
                </c:pt>
                <c:pt idx="4">
                  <c:v>Keratin Bakımı</c:v>
                </c:pt>
                <c:pt idx="5">
                  <c:v>Manikür</c:v>
                </c:pt>
                <c:pt idx="6">
                  <c:v>Ombre / Balyaj</c:v>
                </c:pt>
                <c:pt idx="7">
                  <c:v>Pedikür</c:v>
                </c:pt>
                <c:pt idx="8">
                  <c:v>Saç Kesimi</c:v>
                </c:pt>
                <c:pt idx="9">
                  <c:v>Saç Yıkama</c:v>
                </c:pt>
                <c:pt idx="10">
                  <c:v>Sakal Tıraşı</c:v>
                </c:pt>
                <c:pt idx="11">
                  <c:v>Topuz</c:v>
                </c:pt>
              </c:strCache>
            </c:strRef>
          </c:cat>
          <c:val>
            <c:numRef>
              <c:f>pivot!$B$39:$B$51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0-492D-BBEC-36A681363C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1748560"/>
        <c:axId val="1431757680"/>
      </c:barChart>
      <c:catAx>
        <c:axId val="143174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31757680"/>
        <c:crosses val="autoZero"/>
        <c:auto val="1"/>
        <c:lblAlgn val="ctr"/>
        <c:lblOffset val="100"/>
        <c:noMultiLvlLbl val="0"/>
      </c:catAx>
      <c:valAx>
        <c:axId val="1431757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3174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[Kuaför Veri Seti.xlsx]pivot!PivotTable5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Günlere</a:t>
            </a:r>
            <a:r>
              <a:rPr lang="tr-TR" baseline="0"/>
              <a:t> Göre Yapılan İşlemlerden Elde Edilen Hasılat Yüzdesi</a:t>
            </a:r>
            <a:endParaRPr lang="tr-TR"/>
          </a:p>
        </c:rich>
      </c:tx>
      <c:layout>
        <c:manualLayout>
          <c:xMode val="edge"/>
          <c:yMode val="edge"/>
          <c:x val="1.3124183006535957E-2"/>
          <c:y val="3.350083752093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noFill/>
          </a:ln>
          <a:effectLst/>
        </c:spPr>
      </c:pivotFmt>
      <c:pivotFmt>
        <c:idx val="38"/>
        <c:spPr>
          <a:solidFill>
            <a:schemeClr val="accent6">
              <a:lumMod val="60000"/>
            </a:schemeClr>
          </a:solidFill>
          <a:ln>
            <a:noFill/>
          </a:ln>
          <a:effectLst/>
        </c:spPr>
      </c:pivotFmt>
      <c:pivotFmt>
        <c:idx val="39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</c:pivotFmt>
      <c:pivotFmt>
        <c:idx val="40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accent4"/>
          </a:solidFill>
          <a:ln>
            <a:noFill/>
          </a:ln>
          <a:effectLst/>
        </c:spPr>
      </c:pivotFmt>
      <c:pivotFmt>
        <c:idx val="42"/>
        <c:spPr>
          <a:solidFill>
            <a:schemeClr val="accent3"/>
          </a:solidFill>
          <a:ln>
            <a:noFill/>
          </a:ln>
          <a:effectLst/>
        </c:spPr>
      </c:pivotFmt>
      <c:pivotFmt>
        <c:idx val="43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</c:pivotFmt>
      <c:pivotFmt>
        <c:idx val="44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</c:pivotFmt>
      <c:pivotFmt>
        <c:idx val="45"/>
        <c:spPr>
          <a:solidFill>
            <a:schemeClr val="accent6">
              <a:lumMod val="60000"/>
            </a:schemeClr>
          </a:solidFill>
          <a:ln>
            <a:noFill/>
          </a:ln>
          <a:effectLst/>
        </c:spPr>
      </c:pivotFmt>
      <c:pivotFmt>
        <c:idx val="46"/>
        <c:spPr>
          <a:solidFill>
            <a:schemeClr val="accent5">
              <a:lumMod val="60000"/>
            </a:schemeClr>
          </a:solidFill>
          <a:ln>
            <a:noFill/>
          </a:ln>
          <a:effectLst/>
        </c:spPr>
      </c:pivotFmt>
      <c:pivotFmt>
        <c:idx val="4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5"/>
          </a:solidFill>
          <a:ln>
            <a:noFill/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pivot!$B$53:$B$54</c:f>
              <c:strCache>
                <c:ptCount val="1"/>
                <c:pt idx="0">
                  <c:v>Dip Boya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pivot!$A$55:$A$62</c:f>
              <c:strCache>
                <c:ptCount val="7"/>
                <c:pt idx="0">
                  <c:v>Pazartesi</c:v>
                </c:pt>
                <c:pt idx="1">
                  <c:v>Salı</c:v>
                </c:pt>
                <c:pt idx="2">
                  <c:v>Çarşamba</c:v>
                </c:pt>
                <c:pt idx="3">
                  <c:v>Perşembe</c:v>
                </c:pt>
                <c:pt idx="4">
                  <c:v>Cuma</c:v>
                </c:pt>
                <c:pt idx="5">
                  <c:v>Cumartesi</c:v>
                </c:pt>
                <c:pt idx="6">
                  <c:v>Pazar</c:v>
                </c:pt>
              </c:strCache>
            </c:strRef>
          </c:cat>
          <c:val>
            <c:numRef>
              <c:f>pivot!$B$55:$B$62</c:f>
              <c:numCache>
                <c:formatCode>0.00%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1-423D-89DA-5E6DDF681A20}"/>
            </c:ext>
          </c:extLst>
        </c:ser>
        <c:ser>
          <c:idx val="1"/>
          <c:order val="1"/>
          <c:tx>
            <c:strRef>
              <c:f>pivot!$C$53:$C$54</c:f>
              <c:strCache>
                <c:ptCount val="1"/>
                <c:pt idx="0">
                  <c:v>Fön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pivot!$A$55:$A$62</c:f>
              <c:strCache>
                <c:ptCount val="7"/>
                <c:pt idx="0">
                  <c:v>Pazartesi</c:v>
                </c:pt>
                <c:pt idx="1">
                  <c:v>Salı</c:v>
                </c:pt>
                <c:pt idx="2">
                  <c:v>Çarşamba</c:v>
                </c:pt>
                <c:pt idx="3">
                  <c:v>Perşembe</c:v>
                </c:pt>
                <c:pt idx="4">
                  <c:v>Cuma</c:v>
                </c:pt>
                <c:pt idx="5">
                  <c:v>Cumartesi</c:v>
                </c:pt>
                <c:pt idx="6">
                  <c:v>Pazar</c:v>
                </c:pt>
              </c:strCache>
            </c:strRef>
          </c:cat>
          <c:val>
            <c:numRef>
              <c:f>pivot!$C$55:$C$62</c:f>
              <c:numCache>
                <c:formatCode>0.00%</c:formatCode>
                <c:ptCount val="7"/>
                <c:pt idx="0">
                  <c:v>0.33333333333333331</c:v>
                </c:pt>
                <c:pt idx="1">
                  <c:v>0</c:v>
                </c:pt>
                <c:pt idx="2">
                  <c:v>0</c:v>
                </c:pt>
                <c:pt idx="3">
                  <c:v>0.33333333333333331</c:v>
                </c:pt>
                <c:pt idx="4">
                  <c:v>0</c:v>
                </c:pt>
                <c:pt idx="5">
                  <c:v>0.33333333333333331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31-423D-89DA-5E6DDF681A20}"/>
            </c:ext>
          </c:extLst>
        </c:ser>
        <c:ser>
          <c:idx val="2"/>
          <c:order val="2"/>
          <c:tx>
            <c:strRef>
              <c:f>pivot!$D$53:$D$54</c:f>
              <c:strCache>
                <c:ptCount val="1"/>
                <c:pt idx="0">
                  <c:v>Kalıcı Oje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pivot!$A$55:$A$62</c:f>
              <c:strCache>
                <c:ptCount val="7"/>
                <c:pt idx="0">
                  <c:v>Pazartesi</c:v>
                </c:pt>
                <c:pt idx="1">
                  <c:v>Salı</c:v>
                </c:pt>
                <c:pt idx="2">
                  <c:v>Çarşamba</c:v>
                </c:pt>
                <c:pt idx="3">
                  <c:v>Perşembe</c:v>
                </c:pt>
                <c:pt idx="4">
                  <c:v>Cuma</c:v>
                </c:pt>
                <c:pt idx="5">
                  <c:v>Cumartesi</c:v>
                </c:pt>
                <c:pt idx="6">
                  <c:v>Pazar</c:v>
                </c:pt>
              </c:strCache>
            </c:strRef>
          </c:cat>
          <c:val>
            <c:numRef>
              <c:f>pivot!$D$55:$D$62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31-423D-89DA-5E6DDF681A20}"/>
            </c:ext>
          </c:extLst>
        </c:ser>
        <c:ser>
          <c:idx val="3"/>
          <c:order val="3"/>
          <c:tx>
            <c:strRef>
              <c:f>pivot!$E$53:$E$54</c:f>
              <c:strCache>
                <c:ptCount val="1"/>
                <c:pt idx="0">
                  <c:v>Kaş Alımı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pivot!$A$55:$A$62</c:f>
              <c:strCache>
                <c:ptCount val="7"/>
                <c:pt idx="0">
                  <c:v>Pazartesi</c:v>
                </c:pt>
                <c:pt idx="1">
                  <c:v>Salı</c:v>
                </c:pt>
                <c:pt idx="2">
                  <c:v>Çarşamba</c:v>
                </c:pt>
                <c:pt idx="3">
                  <c:v>Perşembe</c:v>
                </c:pt>
                <c:pt idx="4">
                  <c:v>Cuma</c:v>
                </c:pt>
                <c:pt idx="5">
                  <c:v>Cumartesi</c:v>
                </c:pt>
                <c:pt idx="6">
                  <c:v>Pazar</c:v>
                </c:pt>
              </c:strCache>
            </c:strRef>
          </c:cat>
          <c:val>
            <c:numRef>
              <c:f>pivot!$E$55:$E$62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31-423D-89DA-5E6DDF681A20}"/>
            </c:ext>
          </c:extLst>
        </c:ser>
        <c:ser>
          <c:idx val="4"/>
          <c:order val="4"/>
          <c:tx>
            <c:strRef>
              <c:f>pivot!$F$53:$F$54</c:f>
              <c:strCache>
                <c:ptCount val="1"/>
                <c:pt idx="0">
                  <c:v>Keratin Bakımı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pivot!$A$55:$A$62</c:f>
              <c:strCache>
                <c:ptCount val="7"/>
                <c:pt idx="0">
                  <c:v>Pazartesi</c:v>
                </c:pt>
                <c:pt idx="1">
                  <c:v>Salı</c:v>
                </c:pt>
                <c:pt idx="2">
                  <c:v>Çarşamba</c:v>
                </c:pt>
                <c:pt idx="3">
                  <c:v>Perşembe</c:v>
                </c:pt>
                <c:pt idx="4">
                  <c:v>Cuma</c:v>
                </c:pt>
                <c:pt idx="5">
                  <c:v>Cumartesi</c:v>
                </c:pt>
                <c:pt idx="6">
                  <c:v>Pazar</c:v>
                </c:pt>
              </c:strCache>
            </c:strRef>
          </c:cat>
          <c:val>
            <c:numRef>
              <c:f>pivot!$F$55:$F$62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31-423D-89DA-5E6DDF681A20}"/>
            </c:ext>
          </c:extLst>
        </c:ser>
        <c:ser>
          <c:idx val="5"/>
          <c:order val="5"/>
          <c:tx>
            <c:strRef>
              <c:f>pivot!$G$53:$G$54</c:f>
              <c:strCache>
                <c:ptCount val="1"/>
                <c:pt idx="0">
                  <c:v>Manikür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pivot!$A$55:$A$62</c:f>
              <c:strCache>
                <c:ptCount val="7"/>
                <c:pt idx="0">
                  <c:v>Pazartesi</c:v>
                </c:pt>
                <c:pt idx="1">
                  <c:v>Salı</c:v>
                </c:pt>
                <c:pt idx="2">
                  <c:v>Çarşamba</c:v>
                </c:pt>
                <c:pt idx="3">
                  <c:v>Perşembe</c:v>
                </c:pt>
                <c:pt idx="4">
                  <c:v>Cuma</c:v>
                </c:pt>
                <c:pt idx="5">
                  <c:v>Cumartesi</c:v>
                </c:pt>
                <c:pt idx="6">
                  <c:v>Pazar</c:v>
                </c:pt>
              </c:strCache>
            </c:strRef>
          </c:cat>
          <c:val>
            <c:numRef>
              <c:f>pivot!$G$55:$G$62</c:f>
              <c:numCache>
                <c:formatCode>0.00%</c:formatCode>
                <c:ptCount val="7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31-423D-89DA-5E6DDF681A20}"/>
            </c:ext>
          </c:extLst>
        </c:ser>
        <c:ser>
          <c:idx val="6"/>
          <c:order val="6"/>
          <c:tx>
            <c:strRef>
              <c:f>pivot!$H$53:$H$54</c:f>
              <c:strCache>
                <c:ptCount val="1"/>
                <c:pt idx="0">
                  <c:v>Ombre / Balyaj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pivot!$A$55:$A$62</c:f>
              <c:strCache>
                <c:ptCount val="7"/>
                <c:pt idx="0">
                  <c:v>Pazartesi</c:v>
                </c:pt>
                <c:pt idx="1">
                  <c:v>Salı</c:v>
                </c:pt>
                <c:pt idx="2">
                  <c:v>Çarşamba</c:v>
                </c:pt>
                <c:pt idx="3">
                  <c:v>Perşembe</c:v>
                </c:pt>
                <c:pt idx="4">
                  <c:v>Cuma</c:v>
                </c:pt>
                <c:pt idx="5">
                  <c:v>Cumartesi</c:v>
                </c:pt>
                <c:pt idx="6">
                  <c:v>Pazar</c:v>
                </c:pt>
              </c:strCache>
            </c:strRef>
          </c:cat>
          <c:val>
            <c:numRef>
              <c:f>pivot!$H$55:$H$62</c:f>
              <c:numCache>
                <c:formatCode>0.00%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31-423D-89DA-5E6DDF681A20}"/>
            </c:ext>
          </c:extLst>
        </c:ser>
        <c:ser>
          <c:idx val="7"/>
          <c:order val="7"/>
          <c:tx>
            <c:strRef>
              <c:f>pivot!$I$53:$I$54</c:f>
              <c:strCache>
                <c:ptCount val="1"/>
                <c:pt idx="0">
                  <c:v>Pedikür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pivot!$A$55:$A$62</c:f>
              <c:strCache>
                <c:ptCount val="7"/>
                <c:pt idx="0">
                  <c:v>Pazartesi</c:v>
                </c:pt>
                <c:pt idx="1">
                  <c:v>Salı</c:v>
                </c:pt>
                <c:pt idx="2">
                  <c:v>Çarşamba</c:v>
                </c:pt>
                <c:pt idx="3">
                  <c:v>Perşembe</c:v>
                </c:pt>
                <c:pt idx="4">
                  <c:v>Cuma</c:v>
                </c:pt>
                <c:pt idx="5">
                  <c:v>Cumartesi</c:v>
                </c:pt>
                <c:pt idx="6">
                  <c:v>Pazar</c:v>
                </c:pt>
              </c:strCache>
            </c:strRef>
          </c:cat>
          <c:val>
            <c:numRef>
              <c:f>pivot!$I$55:$I$62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31-423D-89DA-5E6DDF681A20}"/>
            </c:ext>
          </c:extLst>
        </c:ser>
        <c:ser>
          <c:idx val="8"/>
          <c:order val="8"/>
          <c:tx>
            <c:strRef>
              <c:f>pivot!$J$53:$J$54</c:f>
              <c:strCache>
                <c:ptCount val="1"/>
                <c:pt idx="0">
                  <c:v>Saç Kesimi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pivot!$A$55:$A$62</c:f>
              <c:strCache>
                <c:ptCount val="7"/>
                <c:pt idx="0">
                  <c:v>Pazartesi</c:v>
                </c:pt>
                <c:pt idx="1">
                  <c:v>Salı</c:v>
                </c:pt>
                <c:pt idx="2">
                  <c:v>Çarşamba</c:v>
                </c:pt>
                <c:pt idx="3">
                  <c:v>Perşembe</c:v>
                </c:pt>
                <c:pt idx="4">
                  <c:v>Cuma</c:v>
                </c:pt>
                <c:pt idx="5">
                  <c:v>Cumartesi</c:v>
                </c:pt>
                <c:pt idx="6">
                  <c:v>Pazar</c:v>
                </c:pt>
              </c:strCache>
            </c:strRef>
          </c:cat>
          <c:val>
            <c:numRef>
              <c:f>pivot!$J$55:$J$62</c:f>
              <c:numCache>
                <c:formatCode>0.00%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0.4</c:v>
                </c:pt>
                <c:pt idx="3">
                  <c:v>0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31-423D-89DA-5E6DDF681A20}"/>
            </c:ext>
          </c:extLst>
        </c:ser>
        <c:ser>
          <c:idx val="9"/>
          <c:order val="9"/>
          <c:tx>
            <c:strRef>
              <c:f>pivot!$K$53:$K$54</c:f>
              <c:strCache>
                <c:ptCount val="1"/>
                <c:pt idx="0">
                  <c:v>Saç Yıkama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pivot!$A$55:$A$62</c:f>
              <c:strCache>
                <c:ptCount val="7"/>
                <c:pt idx="0">
                  <c:v>Pazartesi</c:v>
                </c:pt>
                <c:pt idx="1">
                  <c:v>Salı</c:v>
                </c:pt>
                <c:pt idx="2">
                  <c:v>Çarşamba</c:v>
                </c:pt>
                <c:pt idx="3">
                  <c:v>Perşembe</c:v>
                </c:pt>
                <c:pt idx="4">
                  <c:v>Cuma</c:v>
                </c:pt>
                <c:pt idx="5">
                  <c:v>Cumartesi</c:v>
                </c:pt>
                <c:pt idx="6">
                  <c:v>Pazar</c:v>
                </c:pt>
              </c:strCache>
            </c:strRef>
          </c:cat>
          <c:val>
            <c:numRef>
              <c:f>pivot!$K$55:$K$62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531-423D-89DA-5E6DDF681A20}"/>
            </c:ext>
          </c:extLst>
        </c:ser>
        <c:ser>
          <c:idx val="10"/>
          <c:order val="10"/>
          <c:tx>
            <c:strRef>
              <c:f>pivot!$L$53:$L$54</c:f>
              <c:strCache>
                <c:ptCount val="1"/>
                <c:pt idx="0">
                  <c:v>Sakal Tıraşı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pivot!$A$55:$A$62</c:f>
              <c:strCache>
                <c:ptCount val="7"/>
                <c:pt idx="0">
                  <c:v>Pazartesi</c:v>
                </c:pt>
                <c:pt idx="1">
                  <c:v>Salı</c:v>
                </c:pt>
                <c:pt idx="2">
                  <c:v>Çarşamba</c:v>
                </c:pt>
                <c:pt idx="3">
                  <c:v>Perşembe</c:v>
                </c:pt>
                <c:pt idx="4">
                  <c:v>Cuma</c:v>
                </c:pt>
                <c:pt idx="5">
                  <c:v>Cumartesi</c:v>
                </c:pt>
                <c:pt idx="6">
                  <c:v>Pazar</c:v>
                </c:pt>
              </c:strCache>
            </c:strRef>
          </c:cat>
          <c:val>
            <c:numRef>
              <c:f>pivot!$L$55:$L$62</c:f>
              <c:numCache>
                <c:formatCode>0.00%</c:formatCode>
                <c:ptCount val="7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31-423D-89DA-5E6DDF681A20}"/>
            </c:ext>
          </c:extLst>
        </c:ser>
        <c:ser>
          <c:idx val="11"/>
          <c:order val="11"/>
          <c:tx>
            <c:strRef>
              <c:f>pivot!$M$53:$M$54</c:f>
              <c:strCache>
                <c:ptCount val="1"/>
                <c:pt idx="0">
                  <c:v>Topuz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pivot!$A$55:$A$62</c:f>
              <c:strCache>
                <c:ptCount val="7"/>
                <c:pt idx="0">
                  <c:v>Pazartesi</c:v>
                </c:pt>
                <c:pt idx="1">
                  <c:v>Salı</c:v>
                </c:pt>
                <c:pt idx="2">
                  <c:v>Çarşamba</c:v>
                </c:pt>
                <c:pt idx="3">
                  <c:v>Perşembe</c:v>
                </c:pt>
                <c:pt idx="4">
                  <c:v>Cuma</c:v>
                </c:pt>
                <c:pt idx="5">
                  <c:v>Cumartesi</c:v>
                </c:pt>
                <c:pt idx="6">
                  <c:v>Pazar</c:v>
                </c:pt>
              </c:strCache>
            </c:strRef>
          </c:cat>
          <c:val>
            <c:numRef>
              <c:f>pivot!$M$55:$M$62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531-423D-89DA-5E6DDF681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1759120"/>
        <c:axId val="1431758640"/>
      </c:barChart>
      <c:catAx>
        <c:axId val="143175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31758640"/>
        <c:crosses val="autoZero"/>
        <c:auto val="1"/>
        <c:lblAlgn val="ctr"/>
        <c:lblOffset val="100"/>
        <c:noMultiLvlLbl val="0"/>
      </c:catAx>
      <c:valAx>
        <c:axId val="143175864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3175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[Kuaför Veri Seti.xlsx]pivot!PivotTable7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İşlemlerin</a:t>
            </a:r>
            <a:r>
              <a:rPr lang="tr-TR" baseline="0"/>
              <a:t> Hangi Eleman Tarafından Kaç Kez Yapıldığını Gösteren Grafik</a:t>
            </a:r>
            <a:endParaRPr lang="tr-TR"/>
          </a:p>
        </c:rich>
      </c:tx>
      <c:layout>
        <c:manualLayout>
          <c:xMode val="edge"/>
          <c:yMode val="edge"/>
          <c:x val="2.5114088561510445E-2"/>
          <c:y val="3.689064558629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pivot!$B$85:$B$86</c:f>
              <c:strCache>
                <c:ptCount val="1"/>
                <c:pt idx="0">
                  <c:v>Ali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pivot!$A$87:$A$99</c:f>
              <c:strCache>
                <c:ptCount val="12"/>
                <c:pt idx="0">
                  <c:v>Dip Boya</c:v>
                </c:pt>
                <c:pt idx="1">
                  <c:v>Fön</c:v>
                </c:pt>
                <c:pt idx="2">
                  <c:v>Kalıcı Oje</c:v>
                </c:pt>
                <c:pt idx="3">
                  <c:v>Kaş Alımı</c:v>
                </c:pt>
                <c:pt idx="4">
                  <c:v>Keratin Bakımı</c:v>
                </c:pt>
                <c:pt idx="5">
                  <c:v>Manikür</c:v>
                </c:pt>
                <c:pt idx="6">
                  <c:v>Ombre / Balyaj</c:v>
                </c:pt>
                <c:pt idx="7">
                  <c:v>Pedikür</c:v>
                </c:pt>
                <c:pt idx="8">
                  <c:v>Saç Kesimi</c:v>
                </c:pt>
                <c:pt idx="9">
                  <c:v>Saç Yıkama</c:v>
                </c:pt>
                <c:pt idx="10">
                  <c:v>Sakal Tıraşı</c:v>
                </c:pt>
                <c:pt idx="11">
                  <c:v>Topuz</c:v>
                </c:pt>
              </c:strCache>
            </c:strRef>
          </c:cat>
          <c:val>
            <c:numRef>
              <c:f>pivot!$B$87:$B$99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8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F-4C3E-9E15-CA560E9BA690}"/>
            </c:ext>
          </c:extLst>
        </c:ser>
        <c:ser>
          <c:idx val="1"/>
          <c:order val="1"/>
          <c:tx>
            <c:strRef>
              <c:f>pivot!$C$85:$C$86</c:f>
              <c:strCache>
                <c:ptCount val="1"/>
                <c:pt idx="0">
                  <c:v>Burak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pivot!$A$87:$A$99</c:f>
              <c:strCache>
                <c:ptCount val="12"/>
                <c:pt idx="0">
                  <c:v>Dip Boya</c:v>
                </c:pt>
                <c:pt idx="1">
                  <c:v>Fön</c:v>
                </c:pt>
                <c:pt idx="2">
                  <c:v>Kalıcı Oje</c:v>
                </c:pt>
                <c:pt idx="3">
                  <c:v>Kaş Alımı</c:v>
                </c:pt>
                <c:pt idx="4">
                  <c:v>Keratin Bakımı</c:v>
                </c:pt>
                <c:pt idx="5">
                  <c:v>Manikür</c:v>
                </c:pt>
                <c:pt idx="6">
                  <c:v>Ombre / Balyaj</c:v>
                </c:pt>
                <c:pt idx="7">
                  <c:v>Pedikür</c:v>
                </c:pt>
                <c:pt idx="8">
                  <c:v>Saç Kesimi</c:v>
                </c:pt>
                <c:pt idx="9">
                  <c:v>Saç Yıkama</c:v>
                </c:pt>
                <c:pt idx="10">
                  <c:v>Sakal Tıraşı</c:v>
                </c:pt>
                <c:pt idx="11">
                  <c:v>Topuz</c:v>
                </c:pt>
              </c:strCache>
            </c:strRef>
          </c:cat>
          <c:val>
            <c:numRef>
              <c:f>pivot!$C$87:$C$99</c:f>
              <c:numCache>
                <c:formatCode>General</c:formatCode>
                <c:ptCount val="12"/>
                <c:pt idx="4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F-4C3E-9E15-CA560E9BA690}"/>
            </c:ext>
          </c:extLst>
        </c:ser>
        <c:ser>
          <c:idx val="2"/>
          <c:order val="2"/>
          <c:tx>
            <c:strRef>
              <c:f>pivot!$D$85:$D$86</c:f>
              <c:strCache>
                <c:ptCount val="1"/>
                <c:pt idx="0">
                  <c:v>Ceren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pivot!$A$87:$A$99</c:f>
              <c:strCache>
                <c:ptCount val="12"/>
                <c:pt idx="0">
                  <c:v>Dip Boya</c:v>
                </c:pt>
                <c:pt idx="1">
                  <c:v>Fön</c:v>
                </c:pt>
                <c:pt idx="2">
                  <c:v>Kalıcı Oje</c:v>
                </c:pt>
                <c:pt idx="3">
                  <c:v>Kaş Alımı</c:v>
                </c:pt>
                <c:pt idx="4">
                  <c:v>Keratin Bakımı</c:v>
                </c:pt>
                <c:pt idx="5">
                  <c:v>Manikür</c:v>
                </c:pt>
                <c:pt idx="6">
                  <c:v>Ombre / Balyaj</c:v>
                </c:pt>
                <c:pt idx="7">
                  <c:v>Pedikür</c:v>
                </c:pt>
                <c:pt idx="8">
                  <c:v>Saç Kesimi</c:v>
                </c:pt>
                <c:pt idx="9">
                  <c:v>Saç Yıkama</c:v>
                </c:pt>
                <c:pt idx="10">
                  <c:v>Sakal Tıraşı</c:v>
                </c:pt>
                <c:pt idx="11">
                  <c:v>Topuz</c:v>
                </c:pt>
              </c:strCache>
            </c:strRef>
          </c:cat>
          <c:val>
            <c:numRef>
              <c:f>pivot!$D$87:$D$99</c:f>
              <c:numCache>
                <c:formatCode>General</c:formatCode>
                <c:ptCount val="12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F-4C3E-9E15-CA560E9BA6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50416"/>
        <c:axId val="3451856"/>
      </c:barChart>
      <c:catAx>
        <c:axId val="345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451856"/>
        <c:crosses val="autoZero"/>
        <c:auto val="1"/>
        <c:lblAlgn val="ctr"/>
        <c:lblOffset val="100"/>
        <c:noMultiLvlLbl val="0"/>
      </c:catAx>
      <c:valAx>
        <c:axId val="34518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[Kuaför Veri Seti.xlsx]pivot!PivotTable8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Gelen</a:t>
            </a:r>
            <a:r>
              <a:rPr lang="tr-TR" baseline="0"/>
              <a:t> Müşterilerin Yaptırdıkları İşlemin Sayısını Gösteren Grafik</a:t>
            </a:r>
            <a:endParaRPr lang="tr-TR"/>
          </a:p>
        </c:rich>
      </c:tx>
      <c:layout>
        <c:manualLayout>
          <c:xMode val="edge"/>
          <c:yMode val="edge"/>
          <c:x val="2.4570910672094135E-2"/>
          <c:y val="4.8387096774193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pivot!$B$101:$B$102</c:f>
              <c:strCache>
                <c:ptCount val="1"/>
                <c:pt idx="0">
                  <c:v>Dip Boya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pivot!$A$103:$A$117</c:f>
              <c:strCache>
                <c:ptCount val="14"/>
                <c:pt idx="0">
                  <c:v>Aslı Karaca</c:v>
                </c:pt>
                <c:pt idx="1">
                  <c:v>Ayşe Yılmaz</c:v>
                </c:pt>
                <c:pt idx="2">
                  <c:v>Berra Selin Yılmaz</c:v>
                </c:pt>
                <c:pt idx="3">
                  <c:v>Can Polat</c:v>
                </c:pt>
                <c:pt idx="4">
                  <c:v>Deniz Acar</c:v>
                </c:pt>
                <c:pt idx="5">
                  <c:v>Ece Öztürk</c:v>
                </c:pt>
                <c:pt idx="6">
                  <c:v>Emre Telli</c:v>
                </c:pt>
                <c:pt idx="7">
                  <c:v>Fatma Güneş</c:v>
                </c:pt>
                <c:pt idx="8">
                  <c:v>Gizem Çelik</c:v>
                </c:pt>
                <c:pt idx="9">
                  <c:v>Kerem Aktaş</c:v>
                </c:pt>
                <c:pt idx="10">
                  <c:v>Mehmet Kaya</c:v>
                </c:pt>
                <c:pt idx="11">
                  <c:v>Murat Yıldız</c:v>
                </c:pt>
                <c:pt idx="12">
                  <c:v>Selin Korkmaz</c:v>
                </c:pt>
                <c:pt idx="13">
                  <c:v>Zeynep Demir</c:v>
                </c:pt>
              </c:strCache>
            </c:strRef>
          </c:cat>
          <c:val>
            <c:numRef>
              <c:f>pivot!$B$103:$B$117</c:f>
              <c:numCache>
                <c:formatCode>General</c:formatCode>
                <c:ptCount val="14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C-42A1-B5A9-620E668340F2}"/>
            </c:ext>
          </c:extLst>
        </c:ser>
        <c:ser>
          <c:idx val="1"/>
          <c:order val="1"/>
          <c:tx>
            <c:strRef>
              <c:f>pivot!$C$101:$C$102</c:f>
              <c:strCache>
                <c:ptCount val="1"/>
                <c:pt idx="0">
                  <c:v>Fön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pivot!$A$103:$A$117</c:f>
              <c:strCache>
                <c:ptCount val="14"/>
                <c:pt idx="0">
                  <c:v>Aslı Karaca</c:v>
                </c:pt>
                <c:pt idx="1">
                  <c:v>Ayşe Yılmaz</c:v>
                </c:pt>
                <c:pt idx="2">
                  <c:v>Berra Selin Yılmaz</c:v>
                </c:pt>
                <c:pt idx="3">
                  <c:v>Can Polat</c:v>
                </c:pt>
                <c:pt idx="4">
                  <c:v>Deniz Acar</c:v>
                </c:pt>
                <c:pt idx="5">
                  <c:v>Ece Öztürk</c:v>
                </c:pt>
                <c:pt idx="6">
                  <c:v>Emre Telli</c:v>
                </c:pt>
                <c:pt idx="7">
                  <c:v>Fatma Güneş</c:v>
                </c:pt>
                <c:pt idx="8">
                  <c:v>Gizem Çelik</c:v>
                </c:pt>
                <c:pt idx="9">
                  <c:v>Kerem Aktaş</c:v>
                </c:pt>
                <c:pt idx="10">
                  <c:v>Mehmet Kaya</c:v>
                </c:pt>
                <c:pt idx="11">
                  <c:v>Murat Yıldız</c:v>
                </c:pt>
                <c:pt idx="12">
                  <c:v>Selin Korkmaz</c:v>
                </c:pt>
                <c:pt idx="13">
                  <c:v>Zeynep Demir</c:v>
                </c:pt>
              </c:strCache>
            </c:strRef>
          </c:cat>
          <c:val>
            <c:numRef>
              <c:f>pivot!$C$103:$C$117</c:f>
              <c:numCache>
                <c:formatCode>General</c:formatCode>
                <c:ptCount val="14"/>
                <c:pt idx="5">
                  <c:v>1</c:v>
                </c:pt>
                <c:pt idx="6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C-42A1-B5A9-620E668340F2}"/>
            </c:ext>
          </c:extLst>
        </c:ser>
        <c:ser>
          <c:idx val="2"/>
          <c:order val="2"/>
          <c:tx>
            <c:strRef>
              <c:f>pivot!$D$101:$D$102</c:f>
              <c:strCache>
                <c:ptCount val="1"/>
                <c:pt idx="0">
                  <c:v>Kalıcı Oje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pivot!$A$103:$A$117</c:f>
              <c:strCache>
                <c:ptCount val="14"/>
                <c:pt idx="0">
                  <c:v>Aslı Karaca</c:v>
                </c:pt>
                <c:pt idx="1">
                  <c:v>Ayşe Yılmaz</c:v>
                </c:pt>
                <c:pt idx="2">
                  <c:v>Berra Selin Yılmaz</c:v>
                </c:pt>
                <c:pt idx="3">
                  <c:v>Can Polat</c:v>
                </c:pt>
                <c:pt idx="4">
                  <c:v>Deniz Acar</c:v>
                </c:pt>
                <c:pt idx="5">
                  <c:v>Ece Öztürk</c:v>
                </c:pt>
                <c:pt idx="6">
                  <c:v>Emre Telli</c:v>
                </c:pt>
                <c:pt idx="7">
                  <c:v>Fatma Güneş</c:v>
                </c:pt>
                <c:pt idx="8">
                  <c:v>Gizem Çelik</c:v>
                </c:pt>
                <c:pt idx="9">
                  <c:v>Kerem Aktaş</c:v>
                </c:pt>
                <c:pt idx="10">
                  <c:v>Mehmet Kaya</c:v>
                </c:pt>
                <c:pt idx="11">
                  <c:v>Murat Yıldız</c:v>
                </c:pt>
                <c:pt idx="12">
                  <c:v>Selin Korkmaz</c:v>
                </c:pt>
                <c:pt idx="13">
                  <c:v>Zeynep Demir</c:v>
                </c:pt>
              </c:strCache>
            </c:strRef>
          </c:cat>
          <c:val>
            <c:numRef>
              <c:f>pivot!$D$103:$D$117</c:f>
              <c:numCache>
                <c:formatCode>General</c:formatCode>
                <c:ptCount val="14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4C-42A1-B5A9-620E668340F2}"/>
            </c:ext>
          </c:extLst>
        </c:ser>
        <c:ser>
          <c:idx val="3"/>
          <c:order val="3"/>
          <c:tx>
            <c:strRef>
              <c:f>pivot!$E$101:$E$102</c:f>
              <c:strCache>
                <c:ptCount val="1"/>
                <c:pt idx="0">
                  <c:v>Kaş Alımı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pivot!$A$103:$A$117</c:f>
              <c:strCache>
                <c:ptCount val="14"/>
                <c:pt idx="0">
                  <c:v>Aslı Karaca</c:v>
                </c:pt>
                <c:pt idx="1">
                  <c:v>Ayşe Yılmaz</c:v>
                </c:pt>
                <c:pt idx="2">
                  <c:v>Berra Selin Yılmaz</c:v>
                </c:pt>
                <c:pt idx="3">
                  <c:v>Can Polat</c:v>
                </c:pt>
                <c:pt idx="4">
                  <c:v>Deniz Acar</c:v>
                </c:pt>
                <c:pt idx="5">
                  <c:v>Ece Öztürk</c:v>
                </c:pt>
                <c:pt idx="6">
                  <c:v>Emre Telli</c:v>
                </c:pt>
                <c:pt idx="7">
                  <c:v>Fatma Güneş</c:v>
                </c:pt>
                <c:pt idx="8">
                  <c:v>Gizem Çelik</c:v>
                </c:pt>
                <c:pt idx="9">
                  <c:v>Kerem Aktaş</c:v>
                </c:pt>
                <c:pt idx="10">
                  <c:v>Mehmet Kaya</c:v>
                </c:pt>
                <c:pt idx="11">
                  <c:v>Murat Yıldız</c:v>
                </c:pt>
                <c:pt idx="12">
                  <c:v>Selin Korkmaz</c:v>
                </c:pt>
                <c:pt idx="13">
                  <c:v>Zeynep Demir</c:v>
                </c:pt>
              </c:strCache>
            </c:strRef>
          </c:cat>
          <c:val>
            <c:numRef>
              <c:f>pivot!$E$103:$E$117</c:f>
              <c:numCache>
                <c:formatCode>General</c:formatCode>
                <c:ptCount val="14"/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4C-42A1-B5A9-620E668340F2}"/>
            </c:ext>
          </c:extLst>
        </c:ser>
        <c:ser>
          <c:idx val="4"/>
          <c:order val="4"/>
          <c:tx>
            <c:strRef>
              <c:f>pivot!$F$101:$F$102</c:f>
              <c:strCache>
                <c:ptCount val="1"/>
                <c:pt idx="0">
                  <c:v>Keratin Bakımı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pivot!$A$103:$A$117</c:f>
              <c:strCache>
                <c:ptCount val="14"/>
                <c:pt idx="0">
                  <c:v>Aslı Karaca</c:v>
                </c:pt>
                <c:pt idx="1">
                  <c:v>Ayşe Yılmaz</c:v>
                </c:pt>
                <c:pt idx="2">
                  <c:v>Berra Selin Yılmaz</c:v>
                </c:pt>
                <c:pt idx="3">
                  <c:v>Can Polat</c:v>
                </c:pt>
                <c:pt idx="4">
                  <c:v>Deniz Acar</c:v>
                </c:pt>
                <c:pt idx="5">
                  <c:v>Ece Öztürk</c:v>
                </c:pt>
                <c:pt idx="6">
                  <c:v>Emre Telli</c:v>
                </c:pt>
                <c:pt idx="7">
                  <c:v>Fatma Güneş</c:v>
                </c:pt>
                <c:pt idx="8">
                  <c:v>Gizem Çelik</c:v>
                </c:pt>
                <c:pt idx="9">
                  <c:v>Kerem Aktaş</c:v>
                </c:pt>
                <c:pt idx="10">
                  <c:v>Mehmet Kaya</c:v>
                </c:pt>
                <c:pt idx="11">
                  <c:v>Murat Yıldız</c:v>
                </c:pt>
                <c:pt idx="12">
                  <c:v>Selin Korkmaz</c:v>
                </c:pt>
                <c:pt idx="13">
                  <c:v>Zeynep Demir</c:v>
                </c:pt>
              </c:strCache>
            </c:strRef>
          </c:cat>
          <c:val>
            <c:numRef>
              <c:f>pivot!$F$103:$F$117</c:f>
              <c:numCache>
                <c:formatCode>General</c:formatCode>
                <c:ptCount val="14"/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4C-42A1-B5A9-620E668340F2}"/>
            </c:ext>
          </c:extLst>
        </c:ser>
        <c:ser>
          <c:idx val="5"/>
          <c:order val="5"/>
          <c:tx>
            <c:strRef>
              <c:f>pivot!$G$101:$G$102</c:f>
              <c:strCache>
                <c:ptCount val="1"/>
                <c:pt idx="0">
                  <c:v>Manikür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pivot!$A$103:$A$117</c:f>
              <c:strCache>
                <c:ptCount val="14"/>
                <c:pt idx="0">
                  <c:v>Aslı Karaca</c:v>
                </c:pt>
                <c:pt idx="1">
                  <c:v>Ayşe Yılmaz</c:v>
                </c:pt>
                <c:pt idx="2">
                  <c:v>Berra Selin Yılmaz</c:v>
                </c:pt>
                <c:pt idx="3">
                  <c:v>Can Polat</c:v>
                </c:pt>
                <c:pt idx="4">
                  <c:v>Deniz Acar</c:v>
                </c:pt>
                <c:pt idx="5">
                  <c:v>Ece Öztürk</c:v>
                </c:pt>
                <c:pt idx="6">
                  <c:v>Emre Telli</c:v>
                </c:pt>
                <c:pt idx="7">
                  <c:v>Fatma Güneş</c:v>
                </c:pt>
                <c:pt idx="8">
                  <c:v>Gizem Çelik</c:v>
                </c:pt>
                <c:pt idx="9">
                  <c:v>Kerem Aktaş</c:v>
                </c:pt>
                <c:pt idx="10">
                  <c:v>Mehmet Kaya</c:v>
                </c:pt>
                <c:pt idx="11">
                  <c:v>Murat Yıldız</c:v>
                </c:pt>
                <c:pt idx="12">
                  <c:v>Selin Korkmaz</c:v>
                </c:pt>
                <c:pt idx="13">
                  <c:v>Zeynep Demir</c:v>
                </c:pt>
              </c:strCache>
            </c:strRef>
          </c:cat>
          <c:val>
            <c:numRef>
              <c:f>pivot!$G$103:$G$117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4C-42A1-B5A9-620E668340F2}"/>
            </c:ext>
          </c:extLst>
        </c:ser>
        <c:ser>
          <c:idx val="6"/>
          <c:order val="6"/>
          <c:tx>
            <c:strRef>
              <c:f>pivot!$H$101:$H$102</c:f>
              <c:strCache>
                <c:ptCount val="1"/>
                <c:pt idx="0">
                  <c:v>Ombre / Balyaj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pivot!$A$103:$A$117</c:f>
              <c:strCache>
                <c:ptCount val="14"/>
                <c:pt idx="0">
                  <c:v>Aslı Karaca</c:v>
                </c:pt>
                <c:pt idx="1">
                  <c:v>Ayşe Yılmaz</c:v>
                </c:pt>
                <c:pt idx="2">
                  <c:v>Berra Selin Yılmaz</c:v>
                </c:pt>
                <c:pt idx="3">
                  <c:v>Can Polat</c:v>
                </c:pt>
                <c:pt idx="4">
                  <c:v>Deniz Acar</c:v>
                </c:pt>
                <c:pt idx="5">
                  <c:v>Ece Öztürk</c:v>
                </c:pt>
                <c:pt idx="6">
                  <c:v>Emre Telli</c:v>
                </c:pt>
                <c:pt idx="7">
                  <c:v>Fatma Güneş</c:v>
                </c:pt>
                <c:pt idx="8">
                  <c:v>Gizem Çelik</c:v>
                </c:pt>
                <c:pt idx="9">
                  <c:v>Kerem Aktaş</c:v>
                </c:pt>
                <c:pt idx="10">
                  <c:v>Mehmet Kaya</c:v>
                </c:pt>
                <c:pt idx="11">
                  <c:v>Murat Yıldız</c:v>
                </c:pt>
                <c:pt idx="12">
                  <c:v>Selin Korkmaz</c:v>
                </c:pt>
                <c:pt idx="13">
                  <c:v>Zeynep Demir</c:v>
                </c:pt>
              </c:strCache>
            </c:strRef>
          </c:cat>
          <c:val>
            <c:numRef>
              <c:f>pivot!$H$103:$H$117</c:f>
              <c:numCache>
                <c:formatCode>General</c:formatCode>
                <c:ptCount val="1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4C-42A1-B5A9-620E668340F2}"/>
            </c:ext>
          </c:extLst>
        </c:ser>
        <c:ser>
          <c:idx val="7"/>
          <c:order val="7"/>
          <c:tx>
            <c:strRef>
              <c:f>pivot!$I$101:$I$102</c:f>
              <c:strCache>
                <c:ptCount val="1"/>
                <c:pt idx="0">
                  <c:v>Pedikür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pivot!$A$103:$A$117</c:f>
              <c:strCache>
                <c:ptCount val="14"/>
                <c:pt idx="0">
                  <c:v>Aslı Karaca</c:v>
                </c:pt>
                <c:pt idx="1">
                  <c:v>Ayşe Yılmaz</c:v>
                </c:pt>
                <c:pt idx="2">
                  <c:v>Berra Selin Yılmaz</c:v>
                </c:pt>
                <c:pt idx="3">
                  <c:v>Can Polat</c:v>
                </c:pt>
                <c:pt idx="4">
                  <c:v>Deniz Acar</c:v>
                </c:pt>
                <c:pt idx="5">
                  <c:v>Ece Öztürk</c:v>
                </c:pt>
                <c:pt idx="6">
                  <c:v>Emre Telli</c:v>
                </c:pt>
                <c:pt idx="7">
                  <c:v>Fatma Güneş</c:v>
                </c:pt>
                <c:pt idx="8">
                  <c:v>Gizem Çelik</c:v>
                </c:pt>
                <c:pt idx="9">
                  <c:v>Kerem Aktaş</c:v>
                </c:pt>
                <c:pt idx="10">
                  <c:v>Mehmet Kaya</c:v>
                </c:pt>
                <c:pt idx="11">
                  <c:v>Murat Yıldız</c:v>
                </c:pt>
                <c:pt idx="12">
                  <c:v>Selin Korkmaz</c:v>
                </c:pt>
                <c:pt idx="13">
                  <c:v>Zeynep Demir</c:v>
                </c:pt>
              </c:strCache>
            </c:strRef>
          </c:cat>
          <c:val>
            <c:numRef>
              <c:f>pivot!$I$103:$I$117</c:f>
              <c:numCache>
                <c:formatCode>General</c:formatCode>
                <c:ptCount val="14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B4C-42A1-B5A9-620E668340F2}"/>
            </c:ext>
          </c:extLst>
        </c:ser>
        <c:ser>
          <c:idx val="8"/>
          <c:order val="8"/>
          <c:tx>
            <c:strRef>
              <c:f>pivot!$J$101:$J$102</c:f>
              <c:strCache>
                <c:ptCount val="1"/>
                <c:pt idx="0">
                  <c:v>Saç Kesimi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pivot!$A$103:$A$117</c:f>
              <c:strCache>
                <c:ptCount val="14"/>
                <c:pt idx="0">
                  <c:v>Aslı Karaca</c:v>
                </c:pt>
                <c:pt idx="1">
                  <c:v>Ayşe Yılmaz</c:v>
                </c:pt>
                <c:pt idx="2">
                  <c:v>Berra Selin Yılmaz</c:v>
                </c:pt>
                <c:pt idx="3">
                  <c:v>Can Polat</c:v>
                </c:pt>
                <c:pt idx="4">
                  <c:v>Deniz Acar</c:v>
                </c:pt>
                <c:pt idx="5">
                  <c:v>Ece Öztürk</c:v>
                </c:pt>
                <c:pt idx="6">
                  <c:v>Emre Telli</c:v>
                </c:pt>
                <c:pt idx="7">
                  <c:v>Fatma Güneş</c:v>
                </c:pt>
                <c:pt idx="8">
                  <c:v>Gizem Çelik</c:v>
                </c:pt>
                <c:pt idx="9">
                  <c:v>Kerem Aktaş</c:v>
                </c:pt>
                <c:pt idx="10">
                  <c:v>Mehmet Kaya</c:v>
                </c:pt>
                <c:pt idx="11">
                  <c:v>Murat Yıldız</c:v>
                </c:pt>
                <c:pt idx="12">
                  <c:v>Selin Korkmaz</c:v>
                </c:pt>
                <c:pt idx="13">
                  <c:v>Zeynep Demir</c:v>
                </c:pt>
              </c:strCache>
            </c:strRef>
          </c:cat>
          <c:val>
            <c:numRef>
              <c:f>pivot!$J$103:$J$117</c:f>
              <c:numCache>
                <c:formatCode>General</c:formatCode>
                <c:ptCount val="14"/>
                <c:pt idx="1">
                  <c:v>1</c:v>
                </c:pt>
                <c:pt idx="3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4C-42A1-B5A9-620E668340F2}"/>
            </c:ext>
          </c:extLst>
        </c:ser>
        <c:ser>
          <c:idx val="9"/>
          <c:order val="9"/>
          <c:tx>
            <c:strRef>
              <c:f>pivot!$K$101:$K$102</c:f>
              <c:strCache>
                <c:ptCount val="1"/>
                <c:pt idx="0">
                  <c:v>Saç Yıkama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pivot!$A$103:$A$117</c:f>
              <c:strCache>
                <c:ptCount val="14"/>
                <c:pt idx="0">
                  <c:v>Aslı Karaca</c:v>
                </c:pt>
                <c:pt idx="1">
                  <c:v>Ayşe Yılmaz</c:v>
                </c:pt>
                <c:pt idx="2">
                  <c:v>Berra Selin Yılmaz</c:v>
                </c:pt>
                <c:pt idx="3">
                  <c:v>Can Polat</c:v>
                </c:pt>
                <c:pt idx="4">
                  <c:v>Deniz Acar</c:v>
                </c:pt>
                <c:pt idx="5">
                  <c:v>Ece Öztürk</c:v>
                </c:pt>
                <c:pt idx="6">
                  <c:v>Emre Telli</c:v>
                </c:pt>
                <c:pt idx="7">
                  <c:v>Fatma Güneş</c:v>
                </c:pt>
                <c:pt idx="8">
                  <c:v>Gizem Çelik</c:v>
                </c:pt>
                <c:pt idx="9">
                  <c:v>Kerem Aktaş</c:v>
                </c:pt>
                <c:pt idx="10">
                  <c:v>Mehmet Kaya</c:v>
                </c:pt>
                <c:pt idx="11">
                  <c:v>Murat Yıldız</c:v>
                </c:pt>
                <c:pt idx="12">
                  <c:v>Selin Korkmaz</c:v>
                </c:pt>
                <c:pt idx="13">
                  <c:v>Zeynep Demir</c:v>
                </c:pt>
              </c:strCache>
            </c:strRef>
          </c:cat>
          <c:val>
            <c:numRef>
              <c:f>pivot!$K$103:$K$117</c:f>
              <c:numCache>
                <c:formatCode>General</c:formatCode>
                <c:ptCount val="14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B4C-42A1-B5A9-620E668340F2}"/>
            </c:ext>
          </c:extLst>
        </c:ser>
        <c:ser>
          <c:idx val="10"/>
          <c:order val="10"/>
          <c:tx>
            <c:strRef>
              <c:f>pivot!$L$101:$L$102</c:f>
              <c:strCache>
                <c:ptCount val="1"/>
                <c:pt idx="0">
                  <c:v>Sakal Tıraşı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pivot!$A$103:$A$117</c:f>
              <c:strCache>
                <c:ptCount val="14"/>
                <c:pt idx="0">
                  <c:v>Aslı Karaca</c:v>
                </c:pt>
                <c:pt idx="1">
                  <c:v>Ayşe Yılmaz</c:v>
                </c:pt>
                <c:pt idx="2">
                  <c:v>Berra Selin Yılmaz</c:v>
                </c:pt>
                <c:pt idx="3">
                  <c:v>Can Polat</c:v>
                </c:pt>
                <c:pt idx="4">
                  <c:v>Deniz Acar</c:v>
                </c:pt>
                <c:pt idx="5">
                  <c:v>Ece Öztürk</c:v>
                </c:pt>
                <c:pt idx="6">
                  <c:v>Emre Telli</c:v>
                </c:pt>
                <c:pt idx="7">
                  <c:v>Fatma Güneş</c:v>
                </c:pt>
                <c:pt idx="8">
                  <c:v>Gizem Çelik</c:v>
                </c:pt>
                <c:pt idx="9">
                  <c:v>Kerem Aktaş</c:v>
                </c:pt>
                <c:pt idx="10">
                  <c:v>Mehmet Kaya</c:v>
                </c:pt>
                <c:pt idx="11">
                  <c:v>Murat Yıldız</c:v>
                </c:pt>
                <c:pt idx="12">
                  <c:v>Selin Korkmaz</c:v>
                </c:pt>
                <c:pt idx="13">
                  <c:v>Zeynep Demir</c:v>
                </c:pt>
              </c:strCache>
            </c:strRef>
          </c:cat>
          <c:val>
            <c:numRef>
              <c:f>pivot!$L$103:$L$117</c:f>
              <c:numCache>
                <c:formatCode>General</c:formatCode>
                <c:ptCount val="14"/>
                <c:pt idx="3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4C-42A1-B5A9-620E668340F2}"/>
            </c:ext>
          </c:extLst>
        </c:ser>
        <c:ser>
          <c:idx val="11"/>
          <c:order val="11"/>
          <c:tx>
            <c:strRef>
              <c:f>pivot!$M$101:$M$102</c:f>
              <c:strCache>
                <c:ptCount val="1"/>
                <c:pt idx="0">
                  <c:v>Topuz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pivot!$A$103:$A$117</c:f>
              <c:strCache>
                <c:ptCount val="14"/>
                <c:pt idx="0">
                  <c:v>Aslı Karaca</c:v>
                </c:pt>
                <c:pt idx="1">
                  <c:v>Ayşe Yılmaz</c:v>
                </c:pt>
                <c:pt idx="2">
                  <c:v>Berra Selin Yılmaz</c:v>
                </c:pt>
                <c:pt idx="3">
                  <c:v>Can Polat</c:v>
                </c:pt>
                <c:pt idx="4">
                  <c:v>Deniz Acar</c:v>
                </c:pt>
                <c:pt idx="5">
                  <c:v>Ece Öztürk</c:v>
                </c:pt>
                <c:pt idx="6">
                  <c:v>Emre Telli</c:v>
                </c:pt>
                <c:pt idx="7">
                  <c:v>Fatma Güneş</c:v>
                </c:pt>
                <c:pt idx="8">
                  <c:v>Gizem Çelik</c:v>
                </c:pt>
                <c:pt idx="9">
                  <c:v>Kerem Aktaş</c:v>
                </c:pt>
                <c:pt idx="10">
                  <c:v>Mehmet Kaya</c:v>
                </c:pt>
                <c:pt idx="11">
                  <c:v>Murat Yıldız</c:v>
                </c:pt>
                <c:pt idx="12">
                  <c:v>Selin Korkmaz</c:v>
                </c:pt>
                <c:pt idx="13">
                  <c:v>Zeynep Demir</c:v>
                </c:pt>
              </c:strCache>
            </c:strRef>
          </c:cat>
          <c:val>
            <c:numRef>
              <c:f>pivot!$M$103:$M$117</c:f>
              <c:numCache>
                <c:formatCode>General</c:formatCode>
                <c:ptCount val="14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B4C-42A1-B5A9-620E66834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1361936"/>
        <c:axId val="1541362416"/>
      </c:barChart>
      <c:catAx>
        <c:axId val="154136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1362416"/>
        <c:crosses val="autoZero"/>
        <c:auto val="1"/>
        <c:lblAlgn val="ctr"/>
        <c:lblOffset val="100"/>
        <c:noMultiLvlLbl val="0"/>
      </c:catAx>
      <c:valAx>
        <c:axId val="1541362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4136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114299</xdr:rowOff>
    </xdr:from>
    <xdr:to>
      <xdr:col>4</xdr:col>
      <xdr:colOff>371475</xdr:colOff>
      <xdr:row>30</xdr:row>
      <xdr:rowOff>85724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946A6085-0003-4F85-86C3-35F0AC855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533400</xdr:colOff>
      <xdr:row>0</xdr:row>
      <xdr:rowOff>57150</xdr:rowOff>
    </xdr:from>
    <xdr:to>
      <xdr:col>17</xdr:col>
      <xdr:colOff>66675</xdr:colOff>
      <xdr:row>2</xdr:row>
      <xdr:rowOff>19050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43643486-6CB5-C950-B7CD-A7582621BEC6}"/>
            </a:ext>
          </a:extLst>
        </xdr:cNvPr>
        <xdr:cNvSpPr/>
      </xdr:nvSpPr>
      <xdr:spPr>
        <a:xfrm>
          <a:off x="1752600" y="57150"/>
          <a:ext cx="8677275" cy="342900"/>
        </a:xfrm>
        <a:prstGeom prst="roundRect">
          <a:avLst/>
        </a:prstGeom>
        <a:solidFill>
          <a:srgbClr val="239F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2000"/>
            <a:t>BİR</a:t>
          </a:r>
          <a:r>
            <a:rPr lang="tr-TR" sz="2000" baseline="0"/>
            <a:t> HAFTALIK KUAFÖR VERİLERİ</a:t>
          </a:r>
          <a:endParaRPr lang="tr-TR" sz="2000"/>
        </a:p>
      </xdr:txBody>
    </xdr:sp>
    <xdr:clientData/>
  </xdr:twoCellAnchor>
  <xdr:twoCellAnchor>
    <xdr:from>
      <xdr:col>4</xdr:col>
      <xdr:colOff>438150</xdr:colOff>
      <xdr:row>2</xdr:row>
      <xdr:rowOff>123825</xdr:rowOff>
    </xdr:from>
    <xdr:to>
      <xdr:col>9</xdr:col>
      <xdr:colOff>542924</xdr:colOff>
      <xdr:row>7</xdr:row>
      <xdr:rowOff>42862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1181B07F-F44D-4990-8251-9A8DEC94E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57150</xdr:colOff>
      <xdr:row>2</xdr:row>
      <xdr:rowOff>123825</xdr:rowOff>
    </xdr:from>
    <xdr:to>
      <xdr:col>15</xdr:col>
      <xdr:colOff>142875</xdr:colOff>
      <xdr:row>7</xdr:row>
      <xdr:rowOff>38100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8B5F7766-247B-4236-9AF9-FA1881178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438150</xdr:colOff>
      <xdr:row>7</xdr:row>
      <xdr:rowOff>104775</xdr:rowOff>
    </xdr:from>
    <xdr:to>
      <xdr:col>12</xdr:col>
      <xdr:colOff>152400</xdr:colOff>
      <xdr:row>17</xdr:row>
      <xdr:rowOff>85725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074ECC40-C1B2-430F-9F50-CD8BD17A3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266700</xdr:colOff>
      <xdr:row>7</xdr:row>
      <xdr:rowOff>123825</xdr:rowOff>
    </xdr:from>
    <xdr:to>
      <xdr:col>20</xdr:col>
      <xdr:colOff>247650</xdr:colOff>
      <xdr:row>17</xdr:row>
      <xdr:rowOff>114300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22130EA5-899A-42A3-A605-4EE682DE6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438150</xdr:colOff>
      <xdr:row>17</xdr:row>
      <xdr:rowOff>133350</xdr:rowOff>
    </xdr:from>
    <xdr:to>
      <xdr:col>12</xdr:col>
      <xdr:colOff>285750</xdr:colOff>
      <xdr:row>30</xdr:row>
      <xdr:rowOff>66675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F0D5C635-CDBA-4799-BC86-B07808921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361950</xdr:colOff>
      <xdr:row>17</xdr:row>
      <xdr:rowOff>171450</xdr:rowOff>
    </xdr:from>
    <xdr:to>
      <xdr:col>20</xdr:col>
      <xdr:colOff>257175</xdr:colOff>
      <xdr:row>30</xdr:row>
      <xdr:rowOff>57150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588BD89B-DC6A-4EF8-B765-1C6387679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352425</xdr:colOff>
      <xdr:row>2</xdr:row>
      <xdr:rowOff>142875</xdr:rowOff>
    </xdr:from>
    <xdr:to>
      <xdr:col>20</xdr:col>
      <xdr:colOff>209550</xdr:colOff>
      <xdr:row>7</xdr:row>
      <xdr:rowOff>28575</xdr:rowOff>
    </xdr:to>
    <xdr:sp macro="" textlink="">
      <xdr:nvSpPr>
        <xdr:cNvPr id="10" name="Dikdörtgen: Köşeleri Yuvarlatılmış 9">
          <a:extLst>
            <a:ext uri="{FF2B5EF4-FFF2-40B4-BE49-F238E27FC236}">
              <a16:creationId xmlns:a16="http://schemas.microsoft.com/office/drawing/2014/main" id="{F81C03E2-B399-3C83-9999-AD8F8ED2C422}"/>
            </a:ext>
          </a:extLst>
        </xdr:cNvPr>
        <xdr:cNvSpPr/>
      </xdr:nvSpPr>
      <xdr:spPr>
        <a:xfrm>
          <a:off x="9496425" y="523875"/>
          <a:ext cx="2905125" cy="8382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800">
              <a:solidFill>
                <a:srgbClr val="239FD7"/>
              </a:solidFill>
            </a:rPr>
            <a:t>Toplam Hasılat</a:t>
          </a:r>
        </a:p>
        <a:p>
          <a:pPr algn="ctr"/>
          <a:r>
            <a:rPr lang="tr-TR" sz="1800">
              <a:solidFill>
                <a:srgbClr val="239FD7"/>
              </a:solidFill>
            </a:rPr>
            <a:t>17700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per" refreshedDate="45956.694553935187" createdVersion="8" refreshedVersion="8" minRefreshableVersion="3" recordCount="20" xr:uid="{882498E6-91D0-403D-9AE5-E26BA14AE92E}">
  <cacheSource type="worksheet">
    <worksheetSource ref="A1:J21" sheet="tablo"/>
  </cacheSource>
  <cacheFields count="10">
    <cacheField name="Tarih" numFmtId="14">
      <sharedItems containsSemiMixedTypes="0" containsNonDate="0" containsDate="1" containsString="0" minDate="2025-07-01T00:00:00" maxDate="2025-07-08T00:00:00"/>
    </cacheField>
    <cacheField name="Gün" numFmtId="0">
      <sharedItems count="7">
        <s v="Pazartesi"/>
        <s v="Salı"/>
        <s v="Çarşamba"/>
        <s v="Perşembe"/>
        <s v="Cuma"/>
        <s v="Cumartesi"/>
        <s v="Pazar"/>
      </sharedItems>
    </cacheField>
    <cacheField name="Saat" numFmtId="20">
      <sharedItems containsSemiMixedTypes="0" containsNonDate="0" containsDate="1" containsString="0" minDate="1899-12-30T09:00:00" maxDate="1899-12-30T16:00:00"/>
    </cacheField>
    <cacheField name="Müşteri Adı" numFmtId="0">
      <sharedItems count="14">
        <s v="Ayşe Yılmaz"/>
        <s v="Mehmet Kaya"/>
        <s v="Zeynep Demir"/>
        <s v="Ece Öztürk"/>
        <s v="Can Polat"/>
        <s v="Aslı Karaca"/>
        <s v="Kerem Aktaş"/>
        <s v="Deniz Acar"/>
        <s v="Fatma Güneş"/>
        <s v="Emre Telli"/>
        <s v="Selin Korkmaz"/>
        <s v="Murat Yıldız"/>
        <s v="Gizem Çelik"/>
        <s v="Berra Selin Yılmaz"/>
      </sharedItems>
    </cacheField>
    <cacheField name="Yapılan İşlem" numFmtId="0">
      <sharedItems count="12">
        <s v="Saç Kesimi"/>
        <s v="Sakal Tıraşı"/>
        <s v="Fön"/>
        <s v="Manikür"/>
        <s v="Dip Boya"/>
        <s v="Ombre / Balyaj"/>
        <s v="Kalıcı Oje"/>
        <s v="Kaş Alımı"/>
        <s v="Topuz"/>
        <s v="Keratin Bakımı"/>
        <s v="Pedikür"/>
        <s v="Saç Yıkama"/>
      </sharedItems>
    </cacheField>
    <cacheField name="İşlem Fiyatı (TL)" numFmtId="0">
      <sharedItems containsSemiMixedTypes="0" containsString="0" containsNumber="1" containsInteger="1" minValue="100" maxValue="5000"/>
    </cacheField>
    <cacheField name="Miktar (Adet)" numFmtId="0">
      <sharedItems containsSemiMixedTypes="0" containsString="0" containsNumber="1" containsInteger="1" minValue="1" maxValue="1"/>
    </cacheField>
    <cacheField name="Toplam Tutar (TL)" numFmtId="0">
      <sharedItems containsSemiMixedTypes="0" containsString="0" containsNumber="1" containsInteger="1" minValue="100" maxValue="5000"/>
    </cacheField>
    <cacheField name="Personel" numFmtId="0">
      <sharedItems count="3">
        <s v="Ali"/>
        <s v="Burak"/>
        <s v="Ceren"/>
      </sharedItems>
    </cacheField>
    <cacheField name="Notlar (Opsiyonel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5-07-01T00:00:00"/>
    <x v="0"/>
    <d v="1899-12-30T10:00:00"/>
    <x v="0"/>
    <x v="0"/>
    <n v="750"/>
    <n v="1"/>
    <n v="750"/>
    <x v="0"/>
    <s v="-"/>
  </r>
  <r>
    <d v="2025-07-01T00:00:00"/>
    <x v="0"/>
    <d v="1899-12-30T11:30:00"/>
    <x v="1"/>
    <x v="1"/>
    <n v="300"/>
    <n v="1"/>
    <n v="300"/>
    <x v="1"/>
    <s v="-"/>
  </r>
  <r>
    <d v="2025-07-01T00:00:00"/>
    <x v="0"/>
    <d v="1899-12-30T13:00:00"/>
    <x v="2"/>
    <x v="2"/>
    <n v="250"/>
    <n v="1"/>
    <n v="250"/>
    <x v="2"/>
    <s v="Uzun Saç"/>
  </r>
  <r>
    <d v="2025-07-01T00:00:00"/>
    <x v="0"/>
    <d v="1899-12-30T15:00:00"/>
    <x v="0"/>
    <x v="3"/>
    <n v="400"/>
    <n v="1"/>
    <n v="400"/>
    <x v="2"/>
    <s v="-"/>
  </r>
  <r>
    <d v="2025-07-02T00:00:00"/>
    <x v="1"/>
    <d v="1899-12-30T10:30:00"/>
    <x v="3"/>
    <x v="4"/>
    <n v="1500"/>
    <n v="1"/>
    <n v="1500"/>
    <x v="0"/>
    <s v="-"/>
  </r>
  <r>
    <d v="2025-07-02T00:00:00"/>
    <x v="1"/>
    <d v="1899-12-30T12:00:00"/>
    <x v="4"/>
    <x v="0"/>
    <n v="750"/>
    <n v="1"/>
    <n v="750"/>
    <x v="1"/>
    <s v="-"/>
  </r>
  <r>
    <d v="2025-07-02T00:00:00"/>
    <x v="1"/>
    <d v="1899-12-30T14:00:00"/>
    <x v="5"/>
    <x v="5"/>
    <n v="5000"/>
    <n v="1"/>
    <n v="5000"/>
    <x v="2"/>
    <s v="Yoğun İşlem"/>
  </r>
  <r>
    <d v="2025-07-03T00:00:00"/>
    <x v="2"/>
    <d v="1899-12-30T09:30:00"/>
    <x v="6"/>
    <x v="0"/>
    <n v="750"/>
    <n v="1"/>
    <n v="750"/>
    <x v="0"/>
    <s v="-"/>
  </r>
  <r>
    <d v="2025-07-03T00:00:00"/>
    <x v="2"/>
    <d v="1899-12-30T11:00:00"/>
    <x v="7"/>
    <x v="6"/>
    <n v="600"/>
    <n v="1"/>
    <n v="600"/>
    <x v="2"/>
    <s v="-"/>
  </r>
  <r>
    <d v="2025-07-03T00:00:00"/>
    <x v="2"/>
    <d v="1899-12-30T13:30:00"/>
    <x v="8"/>
    <x v="0"/>
    <n v="750"/>
    <n v="1"/>
    <n v="750"/>
    <x v="1"/>
    <s v="-"/>
  </r>
  <r>
    <d v="2025-07-04T00:00:00"/>
    <x v="3"/>
    <d v="1899-12-30T14:00:00"/>
    <x v="9"/>
    <x v="2"/>
    <n v="250"/>
    <n v="1"/>
    <n v="250"/>
    <x v="0"/>
    <s v="-"/>
  </r>
  <r>
    <d v="2025-07-04T00:00:00"/>
    <x v="3"/>
    <d v="1899-12-30T15:30:00"/>
    <x v="10"/>
    <x v="7"/>
    <n v="200"/>
    <n v="1"/>
    <n v="200"/>
    <x v="2"/>
    <s v="-"/>
  </r>
  <r>
    <d v="2025-07-05T00:00:00"/>
    <x v="4"/>
    <d v="1899-12-30T10:00:00"/>
    <x v="0"/>
    <x v="8"/>
    <n v="900"/>
    <n v="1"/>
    <n v="900"/>
    <x v="2"/>
    <s v="Düğün Hazırlığı"/>
  </r>
  <r>
    <d v="2025-07-05T00:00:00"/>
    <x v="4"/>
    <d v="1899-12-30T12:00:00"/>
    <x v="11"/>
    <x v="0"/>
    <n v="750"/>
    <n v="1"/>
    <n v="750"/>
    <x v="0"/>
    <s v="-"/>
  </r>
  <r>
    <d v="2025-07-05T00:00:00"/>
    <x v="4"/>
    <d v="1899-12-30T16:00:00"/>
    <x v="12"/>
    <x v="9"/>
    <n v="3000"/>
    <n v="1"/>
    <n v="3000"/>
    <x v="1"/>
    <s v="-"/>
  </r>
  <r>
    <d v="2025-07-06T00:00:00"/>
    <x v="5"/>
    <d v="1899-12-30T09:00:00"/>
    <x v="4"/>
    <x v="1"/>
    <n v="300"/>
    <n v="1"/>
    <n v="300"/>
    <x v="0"/>
    <s v="-"/>
  </r>
  <r>
    <d v="2025-07-06T00:00:00"/>
    <x v="5"/>
    <d v="1899-12-30T10:30:00"/>
    <x v="5"/>
    <x v="3"/>
    <n v="400"/>
    <n v="1"/>
    <n v="400"/>
    <x v="2"/>
    <s v="-"/>
  </r>
  <r>
    <d v="2025-07-06T00:00:00"/>
    <x v="5"/>
    <d v="1899-12-30T13:00:00"/>
    <x v="7"/>
    <x v="10"/>
    <n v="500"/>
    <n v="1"/>
    <n v="500"/>
    <x v="2"/>
    <s v="-"/>
  </r>
  <r>
    <d v="2025-07-06T00:00:00"/>
    <x v="5"/>
    <d v="1899-12-30T15:00:00"/>
    <x v="3"/>
    <x v="2"/>
    <n v="250"/>
    <n v="1"/>
    <n v="250"/>
    <x v="0"/>
    <s v="-"/>
  </r>
  <r>
    <d v="2025-07-07T00:00:00"/>
    <x v="6"/>
    <d v="1899-12-30T11:00:00"/>
    <x v="13"/>
    <x v="11"/>
    <n v="100"/>
    <n v="1"/>
    <n v="100"/>
    <x v="1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9DD15-1A8C-463E-8817-82BC0F8B762F}" name="PivotTable8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101:N117" firstHeaderRow="1" firstDataRow="2" firstDataCol="1"/>
  <pivotFields count="10">
    <pivotField numFmtId="14" showAll="0"/>
    <pivotField showAll="0"/>
    <pivotField numFmtId="20" showAll="0"/>
    <pivotField axis="axisRow" showAll="0">
      <items count="15">
        <item x="5"/>
        <item x="0"/>
        <item x="13"/>
        <item x="4"/>
        <item x="7"/>
        <item x="3"/>
        <item x="9"/>
        <item x="8"/>
        <item x="12"/>
        <item x="6"/>
        <item x="1"/>
        <item x="11"/>
        <item x="10"/>
        <item x="2"/>
        <item t="default"/>
      </items>
    </pivotField>
    <pivotField axis="axisCol" showAll="0">
      <items count="13">
        <item x="4"/>
        <item x="2"/>
        <item x="6"/>
        <item x="7"/>
        <item x="9"/>
        <item x="3"/>
        <item x="5"/>
        <item x="10"/>
        <item x="0"/>
        <item x="11"/>
        <item x="1"/>
        <item x="8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Toplam Miktar (Adet)" fld="6" baseField="0" baseItem="0"/>
  </dataFields>
  <chartFormats count="4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CD727-3BDE-426A-8BB8-996C6BD9D836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5">
  <location ref="A18:B26" firstHeaderRow="1" firstDataRow="1" firstDataCol="1"/>
  <pivotFields count="10">
    <pivotField numFmtId="1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0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ay Yapılan İşlem" fld="4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434BE-C925-4ADE-821B-6AB8B7311DC4}" name="PivotTable3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A28:B36" firstHeaderRow="1" firstDataRow="1" firstDataCol="1"/>
  <pivotFields count="10">
    <pivotField numFmtId="1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0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plam Toplam Tutar (TL)" fld="7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EA966-005B-46C4-8829-13A2A437CE5F}" name="PivotTable6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69:I83" firstHeaderRow="1" firstDataRow="2" firstDataCol="1"/>
  <pivotFields count="10">
    <pivotField numFmtId="14"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0" showAll="0"/>
    <pivotField showAll="0"/>
    <pivotField axis="axisRow" showAll="0">
      <items count="13">
        <item x="4"/>
        <item x="2"/>
        <item x="6"/>
        <item x="7"/>
        <item x="9"/>
        <item x="3"/>
        <item x="5"/>
        <item x="10"/>
        <item x="0"/>
        <item x="11"/>
        <item x="1"/>
        <item x="8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Toplam Toplam Tutar (TL)" fld="7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B4CD5-E04D-433E-AFBC-69BD28F1CF09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10">
    <pivotField numFmtId="14" showAll="0"/>
    <pivotField showAll="0"/>
    <pivotField numFmtId="20" showAll="0"/>
    <pivotField showAll="0"/>
    <pivotField axis="axisRow" showAll="0" sortType="ascending">
      <items count="13">
        <item x="4"/>
        <item x="2"/>
        <item x="6"/>
        <item x="7"/>
        <item x="9"/>
        <item x="3"/>
        <item x="5"/>
        <item x="10"/>
        <item x="0"/>
        <item x="11"/>
        <item x="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4"/>
  </rowFields>
  <rowItems count="13">
    <i>
      <x v="9"/>
    </i>
    <i>
      <x v="3"/>
    </i>
    <i>
      <x v="7"/>
    </i>
    <i>
      <x v="2"/>
    </i>
    <i>
      <x v="10"/>
    </i>
    <i>
      <x v="1"/>
    </i>
    <i>
      <x v="5"/>
    </i>
    <i>
      <x v="11"/>
    </i>
    <i>
      <x/>
    </i>
    <i>
      <x v="4"/>
    </i>
    <i>
      <x v="8"/>
    </i>
    <i>
      <x v="6"/>
    </i>
    <i t="grand">
      <x/>
    </i>
  </rowItems>
  <colItems count="1">
    <i/>
  </colItems>
  <dataFields count="1">
    <dataField name="Toplam İşlem Fiyatı (TL)" fld="5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149B6-6D6E-4665-A92A-FC942A62D819}" name="PivotTable5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7">
  <location ref="A53:N62" firstHeaderRow="1" firstDataRow="2" firstDataCol="1"/>
  <pivotFields count="10">
    <pivotField numFmtId="1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0" showAll="0"/>
    <pivotField showAll="0"/>
    <pivotField axis="axisCol" dataField="1" showAll="0">
      <items count="13">
        <item x="4"/>
        <item x="2"/>
        <item x="6"/>
        <item x="7"/>
        <item x="9"/>
        <item x="3"/>
        <item x="5"/>
        <item x="10"/>
        <item x="0"/>
        <item x="11"/>
        <item x="1"/>
        <item x="8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ay Yapılan İşlem" fld="4" subtotal="count" showDataAs="percentOfCol" baseField="0" baseItem="0" numFmtId="10"/>
  </dataFields>
  <chartFormats count="7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4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1"/>
          </reference>
        </references>
      </pivotArea>
    </chartFormat>
    <chartFormat chart="3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9"/>
          </reference>
        </references>
      </pivotArea>
    </chartFormat>
    <chartFormat chart="3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7"/>
          </reference>
        </references>
      </pivotArea>
    </chartFormat>
    <chartFormat chart="3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3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2"/>
          </reference>
        </references>
      </pivotArea>
    </chartFormat>
    <chartFormat chart="3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6"/>
          </reference>
        </references>
      </pivotArea>
    </chartFormat>
    <chartFormat chart="3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8"/>
          </reference>
        </references>
      </pivotArea>
    </chartFormat>
    <chartFormat chart="3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11"/>
          </reference>
        </references>
      </pivotArea>
    </chartFormat>
    <chartFormat chart="3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10"/>
          </reference>
        </references>
      </pivotArea>
    </chartFormat>
    <chartFormat chart="3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4" count="1" selected="0">
            <x v="7"/>
          </reference>
        </references>
      </pivotArea>
    </chartFormat>
    <chartFormat chart="3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0"/>
          </reference>
        </references>
      </pivotArea>
    </chartFormat>
    <chartFormat chart="3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4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9A07B-B7B3-4747-A3E6-3315D6AAA89C}" name="PivotTable4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38:B51" firstHeaderRow="1" firstDataRow="1" firstDataCol="1"/>
  <pivotFields count="10">
    <pivotField numFmtId="14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0" showAll="0"/>
    <pivotField showAll="0"/>
    <pivotField axis="axisRow" showAll="0">
      <items count="13">
        <item x="4"/>
        <item x="2"/>
        <item x="6"/>
        <item x="7"/>
        <item x="9"/>
        <item x="3"/>
        <item x="5"/>
        <item x="10"/>
        <item x="0"/>
        <item x="11"/>
        <item x="1"/>
        <item x="8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plam Miktar (Adet)" fld="6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319CC-EE1D-4757-A32F-69E33335FA22}" name="PivotTable7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A85:E99" firstHeaderRow="1" firstDataRow="2" firstDataCol="1"/>
  <pivotFields count="10">
    <pivotField numFmtId="14" showAll="0"/>
    <pivotField showAll="0"/>
    <pivotField numFmtId="20" showAll="0"/>
    <pivotField showAll="0"/>
    <pivotField axis="axisRow" showAll="0">
      <items count="13">
        <item x="4"/>
        <item x="2"/>
        <item x="6"/>
        <item x="7"/>
        <item x="9"/>
        <item x="3"/>
        <item x="5"/>
        <item x="10"/>
        <item x="0"/>
        <item x="11"/>
        <item x="1"/>
        <item x="8"/>
        <item t="default"/>
      </items>
    </pivotField>
    <pivotField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Toplam Miktar (Adet)" fld="6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Mavi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C2C9-298C-4799-B350-D513211D7CD3}">
  <dimension ref="A1:J1000"/>
  <sheetViews>
    <sheetView workbookViewId="0">
      <selection activeCell="H23" sqref="H23"/>
    </sheetView>
  </sheetViews>
  <sheetFormatPr defaultRowHeight="15" x14ac:dyDescent="0.25"/>
  <cols>
    <col min="2" max="2" width="9.42578125" bestFit="1" customWidth="1"/>
    <col min="3" max="3" width="5.5703125" bestFit="1" customWidth="1"/>
    <col min="4" max="4" width="16.5703125" bestFit="1" customWidth="1"/>
    <col min="5" max="5" width="13.5703125" bestFit="1" customWidth="1"/>
    <col min="6" max="6" width="14.42578125" bestFit="1" customWidth="1"/>
    <col min="7" max="7" width="11.7109375" bestFit="1" customWidth="1"/>
    <col min="8" max="8" width="15.5703125" bestFit="1" customWidth="1"/>
    <col min="9" max="9" width="8.28515625" bestFit="1" customWidth="1"/>
    <col min="10" max="10" width="16" bestFit="1" customWidth="1"/>
  </cols>
  <sheetData>
    <row r="1" spans="1:10" ht="15.75" thickBot="1" x14ac:dyDescent="0.3">
      <c r="A1" s="2" t="s">
        <v>0</v>
      </c>
      <c r="B1" s="2" t="s">
        <v>1</v>
      </c>
      <c r="C1" s="2" t="s">
        <v>9</v>
      </c>
      <c r="D1" s="2" t="s">
        <v>10</v>
      </c>
      <c r="E1" s="2" t="s">
        <v>24</v>
      </c>
      <c r="F1" s="2" t="s">
        <v>37</v>
      </c>
      <c r="G1" s="2" t="s">
        <v>38</v>
      </c>
      <c r="H1" s="2" t="s">
        <v>39</v>
      </c>
      <c r="I1" s="2" t="s">
        <v>40</v>
      </c>
      <c r="J1" s="1" t="s">
        <v>44</v>
      </c>
    </row>
    <row r="2" spans="1:10" ht="15.75" thickBot="1" x14ac:dyDescent="0.3">
      <c r="A2" s="4">
        <v>45839</v>
      </c>
      <c r="B2" s="2" t="s">
        <v>2</v>
      </c>
      <c r="C2" s="5">
        <v>0.41666666666666669</v>
      </c>
      <c r="D2" s="2" t="s">
        <v>11</v>
      </c>
      <c r="E2" s="2" t="s">
        <v>25</v>
      </c>
      <c r="F2" s="3">
        <v>750</v>
      </c>
      <c r="G2" s="3">
        <v>1</v>
      </c>
      <c r="H2" s="3">
        <v>750</v>
      </c>
      <c r="I2" s="2" t="s">
        <v>41</v>
      </c>
      <c r="J2" s="2" t="s">
        <v>45</v>
      </c>
    </row>
    <row r="3" spans="1:10" ht="15.75" thickBot="1" x14ac:dyDescent="0.3">
      <c r="A3" s="4">
        <v>45839</v>
      </c>
      <c r="B3" s="2" t="s">
        <v>2</v>
      </c>
      <c r="C3" s="5">
        <v>0.47916666666666669</v>
      </c>
      <c r="D3" s="2" t="s">
        <v>12</v>
      </c>
      <c r="E3" s="2" t="s">
        <v>26</v>
      </c>
      <c r="F3" s="3">
        <v>300</v>
      </c>
      <c r="G3" s="3">
        <v>1</v>
      </c>
      <c r="H3" s="3">
        <v>300</v>
      </c>
      <c r="I3" s="2" t="s">
        <v>42</v>
      </c>
      <c r="J3" s="2" t="s">
        <v>45</v>
      </c>
    </row>
    <row r="4" spans="1:10" ht="15.75" thickBot="1" x14ac:dyDescent="0.3">
      <c r="A4" s="4">
        <v>45839</v>
      </c>
      <c r="B4" s="2" t="s">
        <v>2</v>
      </c>
      <c r="C4" s="5">
        <v>0.54166666666666663</v>
      </c>
      <c r="D4" s="2" t="s">
        <v>13</v>
      </c>
      <c r="E4" s="2" t="s">
        <v>27</v>
      </c>
      <c r="F4" s="3">
        <v>250</v>
      </c>
      <c r="G4" s="3">
        <v>1</v>
      </c>
      <c r="H4" s="3">
        <v>250</v>
      </c>
      <c r="I4" s="2" t="s">
        <v>43</v>
      </c>
      <c r="J4" s="2" t="s">
        <v>46</v>
      </c>
    </row>
    <row r="5" spans="1:10" ht="15.75" thickBot="1" x14ac:dyDescent="0.3">
      <c r="A5" s="4">
        <v>45839</v>
      </c>
      <c r="B5" s="2" t="s">
        <v>2</v>
      </c>
      <c r="C5" s="5">
        <v>0.625</v>
      </c>
      <c r="D5" s="2" t="s">
        <v>11</v>
      </c>
      <c r="E5" s="2" t="s">
        <v>28</v>
      </c>
      <c r="F5" s="3">
        <v>400</v>
      </c>
      <c r="G5" s="3">
        <v>1</v>
      </c>
      <c r="H5" s="3">
        <v>400</v>
      </c>
      <c r="I5" s="2" t="s">
        <v>43</v>
      </c>
      <c r="J5" s="2" t="s">
        <v>45</v>
      </c>
    </row>
    <row r="6" spans="1:10" ht="15.75" thickBot="1" x14ac:dyDescent="0.3">
      <c r="A6" s="4">
        <v>45840</v>
      </c>
      <c r="B6" s="2" t="s">
        <v>3</v>
      </c>
      <c r="C6" s="5">
        <v>0.4375</v>
      </c>
      <c r="D6" s="2" t="s">
        <v>14</v>
      </c>
      <c r="E6" s="2" t="s">
        <v>29</v>
      </c>
      <c r="F6" s="3">
        <v>1500</v>
      </c>
      <c r="G6" s="3">
        <v>1</v>
      </c>
      <c r="H6" s="3">
        <v>1500</v>
      </c>
      <c r="I6" s="2" t="s">
        <v>41</v>
      </c>
      <c r="J6" s="2" t="s">
        <v>45</v>
      </c>
    </row>
    <row r="7" spans="1:10" ht="15.75" thickBot="1" x14ac:dyDescent="0.3">
      <c r="A7" s="4">
        <v>45840</v>
      </c>
      <c r="B7" s="2" t="s">
        <v>3</v>
      </c>
      <c r="C7" s="5">
        <v>0.5</v>
      </c>
      <c r="D7" s="2" t="s">
        <v>15</v>
      </c>
      <c r="E7" s="2" t="s">
        <v>25</v>
      </c>
      <c r="F7" s="3">
        <v>750</v>
      </c>
      <c r="G7" s="3">
        <v>1</v>
      </c>
      <c r="H7" s="3">
        <v>750</v>
      </c>
      <c r="I7" s="2" t="s">
        <v>42</v>
      </c>
      <c r="J7" s="2" t="s">
        <v>45</v>
      </c>
    </row>
    <row r="8" spans="1:10" ht="15.75" thickBot="1" x14ac:dyDescent="0.3">
      <c r="A8" s="4">
        <v>45840</v>
      </c>
      <c r="B8" s="2" t="s">
        <v>3</v>
      </c>
      <c r="C8" s="5">
        <v>0.58333333333333337</v>
      </c>
      <c r="D8" s="2" t="s">
        <v>16</v>
      </c>
      <c r="E8" s="2" t="s">
        <v>30</v>
      </c>
      <c r="F8" s="3">
        <v>5000</v>
      </c>
      <c r="G8" s="3">
        <v>1</v>
      </c>
      <c r="H8" s="3">
        <v>5000</v>
      </c>
      <c r="I8" s="2" t="s">
        <v>43</v>
      </c>
      <c r="J8" s="2" t="s">
        <v>47</v>
      </c>
    </row>
    <row r="9" spans="1:10" ht="15.75" thickBot="1" x14ac:dyDescent="0.3">
      <c r="A9" s="4">
        <v>45841</v>
      </c>
      <c r="B9" s="2" t="s">
        <v>4</v>
      </c>
      <c r="C9" s="5">
        <v>0.39583333333333331</v>
      </c>
      <c r="D9" s="2" t="s">
        <v>17</v>
      </c>
      <c r="E9" s="2" t="s">
        <v>25</v>
      </c>
      <c r="F9" s="3">
        <v>750</v>
      </c>
      <c r="G9" s="3">
        <v>1</v>
      </c>
      <c r="H9" s="3">
        <v>750</v>
      </c>
      <c r="I9" s="2" t="s">
        <v>41</v>
      </c>
      <c r="J9" s="2" t="s">
        <v>45</v>
      </c>
    </row>
    <row r="10" spans="1:10" ht="15.75" thickBot="1" x14ac:dyDescent="0.3">
      <c r="A10" s="4">
        <v>45841</v>
      </c>
      <c r="B10" s="2" t="s">
        <v>4</v>
      </c>
      <c r="C10" s="5">
        <v>0.45833333333333331</v>
      </c>
      <c r="D10" s="2" t="s">
        <v>18</v>
      </c>
      <c r="E10" s="2" t="s">
        <v>31</v>
      </c>
      <c r="F10" s="3">
        <v>600</v>
      </c>
      <c r="G10" s="3">
        <v>1</v>
      </c>
      <c r="H10" s="3">
        <v>600</v>
      </c>
      <c r="I10" s="2" t="s">
        <v>43</v>
      </c>
      <c r="J10" s="2" t="s">
        <v>45</v>
      </c>
    </row>
    <row r="11" spans="1:10" ht="15.75" thickBot="1" x14ac:dyDescent="0.3">
      <c r="A11" s="4">
        <v>45841</v>
      </c>
      <c r="B11" s="2" t="s">
        <v>4</v>
      </c>
      <c r="C11" s="5">
        <v>0.5625</v>
      </c>
      <c r="D11" s="2" t="s">
        <v>19</v>
      </c>
      <c r="E11" s="2" t="s">
        <v>25</v>
      </c>
      <c r="F11" s="3">
        <v>750</v>
      </c>
      <c r="G11" s="3">
        <v>1</v>
      </c>
      <c r="H11" s="3">
        <v>750</v>
      </c>
      <c r="I11" s="2" t="s">
        <v>42</v>
      </c>
      <c r="J11" s="2" t="s">
        <v>45</v>
      </c>
    </row>
    <row r="12" spans="1:10" ht="15.75" thickBot="1" x14ac:dyDescent="0.3">
      <c r="A12" s="4">
        <v>45842</v>
      </c>
      <c r="B12" s="2" t="s">
        <v>5</v>
      </c>
      <c r="C12" s="5">
        <v>0.58333333333333337</v>
      </c>
      <c r="D12" s="2" t="s">
        <v>20</v>
      </c>
      <c r="E12" s="2" t="s">
        <v>27</v>
      </c>
      <c r="F12" s="3">
        <v>250</v>
      </c>
      <c r="G12" s="3">
        <v>1</v>
      </c>
      <c r="H12" s="3">
        <v>250</v>
      </c>
      <c r="I12" s="2" t="s">
        <v>41</v>
      </c>
      <c r="J12" s="2" t="s">
        <v>45</v>
      </c>
    </row>
    <row r="13" spans="1:10" ht="15.75" thickBot="1" x14ac:dyDescent="0.3">
      <c r="A13" s="4">
        <v>45842</v>
      </c>
      <c r="B13" s="2" t="s">
        <v>5</v>
      </c>
      <c r="C13" s="5">
        <v>0.64583333333333337</v>
      </c>
      <c r="D13" s="2" t="s">
        <v>21</v>
      </c>
      <c r="E13" s="2" t="s">
        <v>32</v>
      </c>
      <c r="F13" s="3">
        <v>200</v>
      </c>
      <c r="G13" s="3">
        <v>1</v>
      </c>
      <c r="H13" s="3">
        <v>200</v>
      </c>
      <c r="I13" s="2" t="s">
        <v>43</v>
      </c>
      <c r="J13" s="2" t="s">
        <v>45</v>
      </c>
    </row>
    <row r="14" spans="1:10" ht="15.75" thickBot="1" x14ac:dyDescent="0.3">
      <c r="A14" s="4">
        <v>45843</v>
      </c>
      <c r="B14" s="2" t="s">
        <v>6</v>
      </c>
      <c r="C14" s="5">
        <v>0.41666666666666669</v>
      </c>
      <c r="D14" s="2" t="s">
        <v>11</v>
      </c>
      <c r="E14" s="2" t="s">
        <v>33</v>
      </c>
      <c r="F14" s="3">
        <v>900</v>
      </c>
      <c r="G14" s="3">
        <v>1</v>
      </c>
      <c r="H14" s="3">
        <v>900</v>
      </c>
      <c r="I14" s="2" t="s">
        <v>43</v>
      </c>
      <c r="J14" s="2" t="s">
        <v>48</v>
      </c>
    </row>
    <row r="15" spans="1:10" ht="15.75" thickBot="1" x14ac:dyDescent="0.3">
      <c r="A15" s="4">
        <v>45843</v>
      </c>
      <c r="B15" s="2" t="s">
        <v>6</v>
      </c>
      <c r="C15" s="5">
        <v>0.5</v>
      </c>
      <c r="D15" s="2" t="s">
        <v>22</v>
      </c>
      <c r="E15" s="2" t="s">
        <v>25</v>
      </c>
      <c r="F15" s="3">
        <v>750</v>
      </c>
      <c r="G15" s="3">
        <v>1</v>
      </c>
      <c r="H15" s="3">
        <v>750</v>
      </c>
      <c r="I15" s="2" t="s">
        <v>41</v>
      </c>
      <c r="J15" s="2" t="s">
        <v>45</v>
      </c>
    </row>
    <row r="16" spans="1:10" ht="15.75" thickBot="1" x14ac:dyDescent="0.3">
      <c r="A16" s="4">
        <v>45843</v>
      </c>
      <c r="B16" s="2" t="s">
        <v>6</v>
      </c>
      <c r="C16" s="5">
        <v>0.66666666666666663</v>
      </c>
      <c r="D16" s="2" t="s">
        <v>23</v>
      </c>
      <c r="E16" s="2" t="s">
        <v>34</v>
      </c>
      <c r="F16" s="3">
        <v>3000</v>
      </c>
      <c r="G16" s="3">
        <v>1</v>
      </c>
      <c r="H16" s="3">
        <v>3000</v>
      </c>
      <c r="I16" s="2" t="s">
        <v>42</v>
      </c>
      <c r="J16" s="2" t="s">
        <v>45</v>
      </c>
    </row>
    <row r="17" spans="1:10" ht="15.75" thickBot="1" x14ac:dyDescent="0.3">
      <c r="A17" s="4">
        <v>45844</v>
      </c>
      <c r="B17" s="2" t="s">
        <v>7</v>
      </c>
      <c r="C17" s="5">
        <v>0.375</v>
      </c>
      <c r="D17" s="2" t="s">
        <v>15</v>
      </c>
      <c r="E17" s="2" t="s">
        <v>26</v>
      </c>
      <c r="F17" s="3">
        <v>300</v>
      </c>
      <c r="G17" s="3">
        <v>1</v>
      </c>
      <c r="H17" s="3">
        <v>300</v>
      </c>
      <c r="I17" s="2" t="s">
        <v>41</v>
      </c>
      <c r="J17" s="2" t="s">
        <v>45</v>
      </c>
    </row>
    <row r="18" spans="1:10" ht="15.75" thickBot="1" x14ac:dyDescent="0.3">
      <c r="A18" s="4">
        <v>45844</v>
      </c>
      <c r="B18" s="2" t="s">
        <v>7</v>
      </c>
      <c r="C18" s="5">
        <v>0.4375</v>
      </c>
      <c r="D18" s="2" t="s">
        <v>16</v>
      </c>
      <c r="E18" s="2" t="s">
        <v>28</v>
      </c>
      <c r="F18" s="3">
        <v>400</v>
      </c>
      <c r="G18" s="3">
        <v>1</v>
      </c>
      <c r="H18" s="3">
        <v>400</v>
      </c>
      <c r="I18" s="2" t="s">
        <v>43</v>
      </c>
      <c r="J18" s="2" t="s">
        <v>45</v>
      </c>
    </row>
    <row r="19" spans="1:10" ht="15.75" thickBot="1" x14ac:dyDescent="0.3">
      <c r="A19" s="4">
        <v>45844</v>
      </c>
      <c r="B19" s="2" t="s">
        <v>7</v>
      </c>
      <c r="C19" s="5">
        <v>0.54166666666666663</v>
      </c>
      <c r="D19" s="2" t="s">
        <v>18</v>
      </c>
      <c r="E19" s="2" t="s">
        <v>35</v>
      </c>
      <c r="F19" s="3">
        <v>500</v>
      </c>
      <c r="G19" s="3">
        <v>1</v>
      </c>
      <c r="H19" s="3">
        <v>500</v>
      </c>
      <c r="I19" s="2" t="s">
        <v>43</v>
      </c>
      <c r="J19" s="2" t="s">
        <v>45</v>
      </c>
    </row>
    <row r="20" spans="1:10" ht="15.75" thickBot="1" x14ac:dyDescent="0.3">
      <c r="A20" s="4">
        <v>45844</v>
      </c>
      <c r="B20" s="2" t="s">
        <v>7</v>
      </c>
      <c r="C20" s="5">
        <v>0.625</v>
      </c>
      <c r="D20" s="2" t="s">
        <v>14</v>
      </c>
      <c r="E20" s="2" t="s">
        <v>27</v>
      </c>
      <c r="F20" s="3">
        <v>250</v>
      </c>
      <c r="G20" s="3">
        <v>1</v>
      </c>
      <c r="H20" s="3">
        <v>250</v>
      </c>
      <c r="I20" s="2" t="s">
        <v>41</v>
      </c>
      <c r="J20" s="2" t="s">
        <v>45</v>
      </c>
    </row>
    <row r="21" spans="1:10" ht="15.75" thickBot="1" x14ac:dyDescent="0.3">
      <c r="A21" s="4">
        <v>45845</v>
      </c>
      <c r="B21" s="2" t="s">
        <v>8</v>
      </c>
      <c r="C21" s="5">
        <v>0.45833333333333331</v>
      </c>
      <c r="D21" s="2" t="s">
        <v>49</v>
      </c>
      <c r="E21" s="2" t="s">
        <v>36</v>
      </c>
      <c r="F21" s="3">
        <v>100</v>
      </c>
      <c r="G21" s="3">
        <v>1</v>
      </c>
      <c r="H21" s="3">
        <v>100</v>
      </c>
      <c r="I21" s="2" t="s">
        <v>42</v>
      </c>
      <c r="J21" s="2" t="s">
        <v>45</v>
      </c>
    </row>
    <row r="22" spans="1:10" ht="15.75" thickBot="1" x14ac:dyDescent="0.3">
      <c r="A22" s="2"/>
      <c r="B22" s="2"/>
      <c r="C22" s="2"/>
      <c r="D22" s="2"/>
      <c r="E22" s="2"/>
      <c r="F22" s="2"/>
      <c r="G22" s="2"/>
      <c r="H22" s="2">
        <f>SUM(H2:H21)</f>
        <v>17700</v>
      </c>
      <c r="I22" s="2"/>
      <c r="J22" s="2"/>
    </row>
    <row r="23" spans="1:10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5.75" thickBo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.75" thickBo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5.75" thickBo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.75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5.75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.75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.75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.75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.75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.75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.75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.75" thickBo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.75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.75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.75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7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.75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.75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.75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.7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.7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.75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.75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.7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.75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.75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.75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.75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.75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.75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.75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.7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.7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.7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.75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.7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.75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.7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.75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.75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.7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.75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.7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.7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.7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.7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.75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.75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.7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.7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.7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.7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.7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.7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.7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.7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.7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.7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.7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.7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.75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.7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.7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.7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.7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.7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.7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.7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.7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.7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.7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.7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.7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.7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.7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.7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.7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.7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.7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.7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.7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.7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.7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.7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.7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.7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.7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.7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.7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.7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.7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.7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.7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.7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.7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.7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.7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.7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.7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.7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.7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.7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.7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.7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.7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.7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.7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.7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.7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.7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.7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.7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.7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.7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.7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.7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.7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.7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.7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.7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.7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.7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.7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.7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.7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.7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.7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.7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.7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.7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.7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.7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.7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.7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.7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.7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.7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.7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.7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.7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.7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.7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.7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.7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.7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.7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.7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.7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.7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.7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.7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.7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.7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.7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.7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.7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.7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.7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.7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.7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.7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.7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.7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.7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.7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.7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.7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5.7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5.7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5.7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5.7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5.7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5.7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5.7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5.7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5.7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5.7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5.7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5.7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5.7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5.7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5.7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5.7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5.7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5.7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5.7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5.7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5.7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5.7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5.7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5.7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5.7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5.7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5.7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5.7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5.7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5.7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5.7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5.7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5.7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5.7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5.7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5.7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5.7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5.7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5.7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5.7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5.7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5.7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5.7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5.7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5.7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5.7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5.7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5.7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5.7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5.7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5.7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5.7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5.7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5.7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5.7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5.7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5.7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5.7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5.7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5.7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5.7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5.7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5.7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5.7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5.7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5.7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5.7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.7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.7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.7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.7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5.7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5.7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5.7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5.7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5.7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5.7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5.7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5.7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5.7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5.7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5.7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5.7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.7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5.7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5.7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5.7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5.7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5.7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5.7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5.7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5.7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5.7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5.7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5.7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5.7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5.7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5.7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5.7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5.7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5.7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5.7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5.7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5.7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5.7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5.7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5.7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5.7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5.7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5.7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5.7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5.7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5.7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5.7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5.7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5.7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5.7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5.7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5.7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5.7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5.7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5.7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5.7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5.7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5.7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5.7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5.7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5.7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5.7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5.7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5.7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5.7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5.7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5.7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5.7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5.7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5.7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5.7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5.7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5.7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5.7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5.7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5.7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5.7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5.7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5.7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5.7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5.7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5.7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5.7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5.7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5.7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5.7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5.7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5.7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5.7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5.7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5.7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5.7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5.7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5.7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5.7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5.7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5.7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5.7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5.7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5.7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5.7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5.7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5.7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5.7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5.7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5.7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5.7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5.7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5.7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5.7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5.7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5.7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5.7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5.7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5.7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5.7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5.7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5.7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5.7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5.7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5.7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5.7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5.7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5.7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5.7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5.7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5.7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5.7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5.7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5.7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5.7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5.7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5.7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5.7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5.7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5.7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5.7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5.7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5.7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5.7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5.7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.7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5.7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5.7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.7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5.7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.7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.7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5.7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5.7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5.7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5.7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5.7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5.7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5.7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5.7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5.7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5.7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.7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.7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5.7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5.7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.7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.7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.7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.7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5.7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5.7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5.7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5.7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5.7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5.7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5.7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5.7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5.7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5.7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.7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.7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5.7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5.7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.7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.7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.7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.7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5.7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5.7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5.7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5.7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5.7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5.7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5.7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5.7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5.7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5.7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.7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.7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5.7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5.7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5.7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5.7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5.7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5.7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5.7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5.7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5.7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5.7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5.7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5.7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5.7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5.7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5.7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5.7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5.7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5.7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5.7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5.7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5.7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5.7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5.7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5.7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5.7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5.7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5.7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5.7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5.7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5.7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5.7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5.7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5.7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5.7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5.7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5.7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5.7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5.7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5.7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5.7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5.7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5.7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5.7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5.7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5.7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5.7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5.7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5.7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5.7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5.7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5.7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5.7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5.7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5.7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5.7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5.7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5.7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5.7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5.7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5.7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5.7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5.7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5.7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5.7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5.7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5.7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5.7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5.7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5.7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5.7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5.7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5.7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5.7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5.7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5.7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5.7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5.7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5.7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5.7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5.7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5.7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5.7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5.7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5.7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5.7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5.7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5.7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5.7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5.7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5.7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5.7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5.7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5.7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5.7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5.7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5.7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5.75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5.75" thickBo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6575-E81D-4F4D-92D3-06244E860B26}">
  <dimension ref="A3:N117"/>
  <sheetViews>
    <sheetView topLeftCell="A54" workbookViewId="0">
      <selection activeCell="D56" sqref="D56"/>
    </sheetView>
  </sheetViews>
  <sheetFormatPr defaultRowHeight="15" x14ac:dyDescent="0.25"/>
  <cols>
    <col min="1" max="1" width="16.7109375" bestFit="1" customWidth="1"/>
    <col min="2" max="2" width="17.42578125" bestFit="1" customWidth="1"/>
    <col min="3" max="3" width="8.140625" bestFit="1" customWidth="1"/>
    <col min="4" max="4" width="9.42578125" bestFit="1" customWidth="1"/>
    <col min="5" max="5" width="9.140625" bestFit="1" customWidth="1"/>
    <col min="6" max="6" width="14" bestFit="1" customWidth="1"/>
    <col min="7" max="7" width="8.140625" bestFit="1" customWidth="1"/>
    <col min="8" max="8" width="14.140625" bestFit="1" customWidth="1"/>
    <col min="9" max="9" width="8.140625" bestFit="1" customWidth="1"/>
    <col min="10" max="10" width="10.7109375" bestFit="1" customWidth="1"/>
    <col min="11" max="12" width="11" bestFit="1" customWidth="1"/>
    <col min="13" max="13" width="8.140625" bestFit="1" customWidth="1"/>
    <col min="14" max="14" width="13.5703125" bestFit="1" customWidth="1"/>
    <col min="15" max="15" width="9.140625" bestFit="1" customWidth="1"/>
    <col min="16" max="16" width="17.42578125" bestFit="1" customWidth="1"/>
    <col min="17" max="17" width="14" bestFit="1" customWidth="1"/>
    <col min="18" max="18" width="10.7109375" bestFit="1" customWidth="1"/>
    <col min="19" max="19" width="8.140625" bestFit="1" customWidth="1"/>
    <col min="20" max="20" width="13.42578125" bestFit="1" customWidth="1"/>
    <col min="21" max="21" width="12.28515625" bestFit="1" customWidth="1"/>
    <col min="22" max="23" width="8.140625" bestFit="1" customWidth="1"/>
    <col min="24" max="24" width="11" bestFit="1" customWidth="1"/>
    <col min="25" max="25" width="17.7109375" bestFit="1" customWidth="1"/>
    <col min="26" max="26" width="11" bestFit="1" customWidth="1"/>
    <col min="27" max="27" width="12.7109375" bestFit="1" customWidth="1"/>
    <col min="28" max="28" width="13.5703125" bestFit="1" customWidth="1"/>
  </cols>
  <sheetData>
    <row r="3" spans="1:2" x14ac:dyDescent="0.25">
      <c r="A3" s="6" t="s">
        <v>50</v>
      </c>
      <c r="B3" t="s">
        <v>52</v>
      </c>
    </row>
    <row r="4" spans="1:2" x14ac:dyDescent="0.25">
      <c r="A4" s="7" t="s">
        <v>36</v>
      </c>
      <c r="B4">
        <v>100</v>
      </c>
    </row>
    <row r="5" spans="1:2" x14ac:dyDescent="0.25">
      <c r="A5" s="7" t="s">
        <v>32</v>
      </c>
      <c r="B5">
        <v>200</v>
      </c>
    </row>
    <row r="6" spans="1:2" x14ac:dyDescent="0.25">
      <c r="A6" s="7" t="s">
        <v>35</v>
      </c>
      <c r="B6">
        <v>500</v>
      </c>
    </row>
    <row r="7" spans="1:2" x14ac:dyDescent="0.25">
      <c r="A7" s="7" t="s">
        <v>31</v>
      </c>
      <c r="B7">
        <v>600</v>
      </c>
    </row>
    <row r="8" spans="1:2" x14ac:dyDescent="0.25">
      <c r="A8" s="7" t="s">
        <v>26</v>
      </c>
      <c r="B8">
        <v>600</v>
      </c>
    </row>
    <row r="9" spans="1:2" x14ac:dyDescent="0.25">
      <c r="A9" s="7" t="s">
        <v>27</v>
      </c>
      <c r="B9">
        <v>750</v>
      </c>
    </row>
    <row r="10" spans="1:2" x14ac:dyDescent="0.25">
      <c r="A10" s="7" t="s">
        <v>28</v>
      </c>
      <c r="B10">
        <v>800</v>
      </c>
    </row>
    <row r="11" spans="1:2" x14ac:dyDescent="0.25">
      <c r="A11" s="7" t="s">
        <v>33</v>
      </c>
      <c r="B11">
        <v>900</v>
      </c>
    </row>
    <row r="12" spans="1:2" x14ac:dyDescent="0.25">
      <c r="A12" s="7" t="s">
        <v>29</v>
      </c>
      <c r="B12">
        <v>1500</v>
      </c>
    </row>
    <row r="13" spans="1:2" x14ac:dyDescent="0.25">
      <c r="A13" s="7" t="s">
        <v>34</v>
      </c>
      <c r="B13">
        <v>3000</v>
      </c>
    </row>
    <row r="14" spans="1:2" x14ac:dyDescent="0.25">
      <c r="A14" s="7" t="s">
        <v>25</v>
      </c>
      <c r="B14">
        <v>3750</v>
      </c>
    </row>
    <row r="15" spans="1:2" x14ac:dyDescent="0.25">
      <c r="A15" s="7" t="s">
        <v>30</v>
      </c>
      <c r="B15">
        <v>5000</v>
      </c>
    </row>
    <row r="16" spans="1:2" x14ac:dyDescent="0.25">
      <c r="A16" s="7" t="s">
        <v>51</v>
      </c>
      <c r="B16">
        <v>17700</v>
      </c>
    </row>
    <row r="18" spans="1:2" x14ac:dyDescent="0.25">
      <c r="A18" s="6" t="s">
        <v>50</v>
      </c>
      <c r="B18" t="s">
        <v>53</v>
      </c>
    </row>
    <row r="19" spans="1:2" x14ac:dyDescent="0.25">
      <c r="A19" s="7" t="s">
        <v>2</v>
      </c>
      <c r="B19">
        <v>4</v>
      </c>
    </row>
    <row r="20" spans="1:2" x14ac:dyDescent="0.25">
      <c r="A20" s="7" t="s">
        <v>3</v>
      </c>
      <c r="B20">
        <v>3</v>
      </c>
    </row>
    <row r="21" spans="1:2" x14ac:dyDescent="0.25">
      <c r="A21" s="7" t="s">
        <v>4</v>
      </c>
      <c r="B21">
        <v>3</v>
      </c>
    </row>
    <row r="22" spans="1:2" x14ac:dyDescent="0.25">
      <c r="A22" s="7" t="s">
        <v>5</v>
      </c>
      <c r="B22">
        <v>2</v>
      </c>
    </row>
    <row r="23" spans="1:2" x14ac:dyDescent="0.25">
      <c r="A23" s="7" t="s">
        <v>6</v>
      </c>
      <c r="B23">
        <v>3</v>
      </c>
    </row>
    <row r="24" spans="1:2" x14ac:dyDescent="0.25">
      <c r="A24" s="7" t="s">
        <v>7</v>
      </c>
      <c r="B24">
        <v>4</v>
      </c>
    </row>
    <row r="25" spans="1:2" x14ac:dyDescent="0.25">
      <c r="A25" s="7" t="s">
        <v>8</v>
      </c>
      <c r="B25">
        <v>1</v>
      </c>
    </row>
    <row r="26" spans="1:2" x14ac:dyDescent="0.25">
      <c r="A26" s="7" t="s">
        <v>51</v>
      </c>
      <c r="B26">
        <v>20</v>
      </c>
    </row>
    <row r="28" spans="1:2" x14ac:dyDescent="0.25">
      <c r="A28" s="6" t="s">
        <v>50</v>
      </c>
      <c r="B28" t="s">
        <v>54</v>
      </c>
    </row>
    <row r="29" spans="1:2" x14ac:dyDescent="0.25">
      <c r="A29" s="7" t="s">
        <v>2</v>
      </c>
      <c r="B29">
        <v>1700</v>
      </c>
    </row>
    <row r="30" spans="1:2" x14ac:dyDescent="0.25">
      <c r="A30" s="7" t="s">
        <v>3</v>
      </c>
      <c r="B30">
        <v>7250</v>
      </c>
    </row>
    <row r="31" spans="1:2" x14ac:dyDescent="0.25">
      <c r="A31" s="7" t="s">
        <v>4</v>
      </c>
      <c r="B31">
        <v>2100</v>
      </c>
    </row>
    <row r="32" spans="1:2" x14ac:dyDescent="0.25">
      <c r="A32" s="7" t="s">
        <v>5</v>
      </c>
      <c r="B32">
        <v>450</v>
      </c>
    </row>
    <row r="33" spans="1:2" x14ac:dyDescent="0.25">
      <c r="A33" s="7" t="s">
        <v>6</v>
      </c>
      <c r="B33">
        <v>4650</v>
      </c>
    </row>
    <row r="34" spans="1:2" x14ac:dyDescent="0.25">
      <c r="A34" s="7" t="s">
        <v>7</v>
      </c>
      <c r="B34">
        <v>1450</v>
      </c>
    </row>
    <row r="35" spans="1:2" x14ac:dyDescent="0.25">
      <c r="A35" s="7" t="s">
        <v>8</v>
      </c>
      <c r="B35">
        <v>100</v>
      </c>
    </row>
    <row r="36" spans="1:2" x14ac:dyDescent="0.25">
      <c r="A36" s="7" t="s">
        <v>51</v>
      </c>
      <c r="B36">
        <v>17700</v>
      </c>
    </row>
    <row r="38" spans="1:2" x14ac:dyDescent="0.25">
      <c r="A38" s="6" t="s">
        <v>50</v>
      </c>
      <c r="B38" t="s">
        <v>56</v>
      </c>
    </row>
    <row r="39" spans="1:2" x14ac:dyDescent="0.25">
      <c r="A39" s="7" t="s">
        <v>29</v>
      </c>
      <c r="B39">
        <v>1</v>
      </c>
    </row>
    <row r="40" spans="1:2" x14ac:dyDescent="0.25">
      <c r="A40" s="7" t="s">
        <v>27</v>
      </c>
      <c r="B40">
        <v>3</v>
      </c>
    </row>
    <row r="41" spans="1:2" x14ac:dyDescent="0.25">
      <c r="A41" s="7" t="s">
        <v>31</v>
      </c>
      <c r="B41">
        <v>1</v>
      </c>
    </row>
    <row r="42" spans="1:2" x14ac:dyDescent="0.25">
      <c r="A42" s="7" t="s">
        <v>32</v>
      </c>
      <c r="B42">
        <v>1</v>
      </c>
    </row>
    <row r="43" spans="1:2" x14ac:dyDescent="0.25">
      <c r="A43" s="7" t="s">
        <v>34</v>
      </c>
      <c r="B43">
        <v>1</v>
      </c>
    </row>
    <row r="44" spans="1:2" x14ac:dyDescent="0.25">
      <c r="A44" s="7" t="s">
        <v>28</v>
      </c>
      <c r="B44">
        <v>2</v>
      </c>
    </row>
    <row r="45" spans="1:2" x14ac:dyDescent="0.25">
      <c r="A45" s="7" t="s">
        <v>30</v>
      </c>
      <c r="B45">
        <v>1</v>
      </c>
    </row>
    <row r="46" spans="1:2" x14ac:dyDescent="0.25">
      <c r="A46" s="7" t="s">
        <v>35</v>
      </c>
      <c r="B46">
        <v>1</v>
      </c>
    </row>
    <row r="47" spans="1:2" x14ac:dyDescent="0.25">
      <c r="A47" s="7" t="s">
        <v>25</v>
      </c>
      <c r="B47">
        <v>5</v>
      </c>
    </row>
    <row r="48" spans="1:2" x14ac:dyDescent="0.25">
      <c r="A48" s="7" t="s">
        <v>36</v>
      </c>
      <c r="B48">
        <v>1</v>
      </c>
    </row>
    <row r="49" spans="1:14" x14ac:dyDescent="0.25">
      <c r="A49" s="7" t="s">
        <v>26</v>
      </c>
      <c r="B49">
        <v>2</v>
      </c>
    </row>
    <row r="50" spans="1:14" x14ac:dyDescent="0.25">
      <c r="A50" s="7" t="s">
        <v>33</v>
      </c>
      <c r="B50">
        <v>1</v>
      </c>
    </row>
    <row r="51" spans="1:14" x14ac:dyDescent="0.25">
      <c r="A51" s="7" t="s">
        <v>51</v>
      </c>
      <c r="B51">
        <v>20</v>
      </c>
    </row>
    <row r="53" spans="1:14" x14ac:dyDescent="0.25">
      <c r="A53" s="6" t="s">
        <v>53</v>
      </c>
      <c r="B53" s="6" t="s">
        <v>55</v>
      </c>
    </row>
    <row r="54" spans="1:14" x14ac:dyDescent="0.25">
      <c r="A54" s="6" t="s">
        <v>50</v>
      </c>
      <c r="B54" t="s">
        <v>29</v>
      </c>
      <c r="C54" t="s">
        <v>27</v>
      </c>
      <c r="D54" t="s">
        <v>31</v>
      </c>
      <c r="E54" t="s">
        <v>32</v>
      </c>
      <c r="F54" t="s">
        <v>34</v>
      </c>
      <c r="G54" t="s">
        <v>28</v>
      </c>
      <c r="H54" t="s">
        <v>30</v>
      </c>
      <c r="I54" t="s">
        <v>35</v>
      </c>
      <c r="J54" t="s">
        <v>25</v>
      </c>
      <c r="K54" t="s">
        <v>36</v>
      </c>
      <c r="L54" t="s">
        <v>26</v>
      </c>
      <c r="M54" t="s">
        <v>33</v>
      </c>
      <c r="N54" t="s">
        <v>51</v>
      </c>
    </row>
    <row r="55" spans="1:14" x14ac:dyDescent="0.25">
      <c r="A55" s="7" t="s">
        <v>2</v>
      </c>
      <c r="B55" s="8">
        <v>0</v>
      </c>
      <c r="C55" s="8">
        <v>0.33333333333333331</v>
      </c>
      <c r="D55" s="8">
        <v>0</v>
      </c>
      <c r="E55" s="8">
        <v>0</v>
      </c>
      <c r="F55" s="8">
        <v>0</v>
      </c>
      <c r="G55" s="8">
        <v>0.5</v>
      </c>
      <c r="H55" s="8">
        <v>0</v>
      </c>
      <c r="I55" s="8">
        <v>0</v>
      </c>
      <c r="J55" s="8">
        <v>0.2</v>
      </c>
      <c r="K55" s="8">
        <v>0</v>
      </c>
      <c r="L55" s="8">
        <v>0.5</v>
      </c>
      <c r="M55" s="8">
        <v>0</v>
      </c>
      <c r="N55" s="8">
        <v>0.2</v>
      </c>
    </row>
    <row r="56" spans="1:14" x14ac:dyDescent="0.25">
      <c r="A56" s="7" t="s">
        <v>3</v>
      </c>
      <c r="B56" s="8">
        <v>1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1</v>
      </c>
      <c r="I56" s="8">
        <v>0</v>
      </c>
      <c r="J56" s="8">
        <v>0.2</v>
      </c>
      <c r="K56" s="8">
        <v>0</v>
      </c>
      <c r="L56" s="8">
        <v>0</v>
      </c>
      <c r="M56" s="8">
        <v>0</v>
      </c>
      <c r="N56" s="8">
        <v>0.15</v>
      </c>
    </row>
    <row r="57" spans="1:14" x14ac:dyDescent="0.25">
      <c r="A57" s="7" t="s">
        <v>4</v>
      </c>
      <c r="B57" s="8">
        <v>0</v>
      </c>
      <c r="C57" s="8">
        <v>0</v>
      </c>
      <c r="D57" s="8">
        <v>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0.4</v>
      </c>
      <c r="K57" s="8">
        <v>0</v>
      </c>
      <c r="L57" s="8">
        <v>0</v>
      </c>
      <c r="M57" s="8">
        <v>0</v>
      </c>
      <c r="N57" s="8">
        <v>0.15</v>
      </c>
    </row>
    <row r="58" spans="1:14" x14ac:dyDescent="0.25">
      <c r="A58" s="7" t="s">
        <v>5</v>
      </c>
      <c r="B58" s="8">
        <v>0</v>
      </c>
      <c r="C58" s="8">
        <v>0.33333333333333331</v>
      </c>
      <c r="D58" s="8">
        <v>0</v>
      </c>
      <c r="E58" s="8">
        <v>1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0.1</v>
      </c>
    </row>
    <row r="59" spans="1:14" x14ac:dyDescent="0.25">
      <c r="A59" s="7" t="s">
        <v>6</v>
      </c>
      <c r="B59" s="8">
        <v>0</v>
      </c>
      <c r="C59" s="8">
        <v>0</v>
      </c>
      <c r="D59" s="8">
        <v>0</v>
      </c>
      <c r="E59" s="8">
        <v>0</v>
      </c>
      <c r="F59" s="8">
        <v>1</v>
      </c>
      <c r="G59" s="8">
        <v>0</v>
      </c>
      <c r="H59" s="8">
        <v>0</v>
      </c>
      <c r="I59" s="8">
        <v>0</v>
      </c>
      <c r="J59" s="8">
        <v>0.2</v>
      </c>
      <c r="K59" s="8">
        <v>0</v>
      </c>
      <c r="L59" s="8">
        <v>0</v>
      </c>
      <c r="M59" s="8">
        <v>1</v>
      </c>
      <c r="N59" s="8">
        <v>0.15</v>
      </c>
    </row>
    <row r="60" spans="1:14" x14ac:dyDescent="0.25">
      <c r="A60" s="7" t="s">
        <v>7</v>
      </c>
      <c r="B60" s="8">
        <v>0</v>
      </c>
      <c r="C60" s="8">
        <v>0.33333333333333331</v>
      </c>
      <c r="D60" s="8">
        <v>0</v>
      </c>
      <c r="E60" s="8">
        <v>0</v>
      </c>
      <c r="F60" s="8">
        <v>0</v>
      </c>
      <c r="G60" s="8">
        <v>0.5</v>
      </c>
      <c r="H60" s="8">
        <v>0</v>
      </c>
      <c r="I60" s="8">
        <v>1</v>
      </c>
      <c r="J60" s="8">
        <v>0</v>
      </c>
      <c r="K60" s="8">
        <v>0</v>
      </c>
      <c r="L60" s="8">
        <v>0.5</v>
      </c>
      <c r="M60" s="8">
        <v>0</v>
      </c>
      <c r="N60" s="8">
        <v>0.2</v>
      </c>
    </row>
    <row r="61" spans="1:14" x14ac:dyDescent="0.25">
      <c r="A61" s="7" t="s">
        <v>8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1</v>
      </c>
      <c r="L61" s="8">
        <v>0</v>
      </c>
      <c r="M61" s="8">
        <v>0</v>
      </c>
      <c r="N61" s="8">
        <v>0.05</v>
      </c>
    </row>
    <row r="62" spans="1:14" x14ac:dyDescent="0.25">
      <c r="A62" s="7" t="s">
        <v>51</v>
      </c>
      <c r="B62" s="8">
        <v>1</v>
      </c>
      <c r="C62" s="8">
        <v>1</v>
      </c>
      <c r="D62" s="8">
        <v>1</v>
      </c>
      <c r="E62" s="8">
        <v>1</v>
      </c>
      <c r="F62" s="8">
        <v>1</v>
      </c>
      <c r="G62" s="8">
        <v>1</v>
      </c>
      <c r="H62" s="8">
        <v>1</v>
      </c>
      <c r="I62" s="8">
        <v>1</v>
      </c>
      <c r="J62" s="8">
        <v>1</v>
      </c>
      <c r="K62" s="8">
        <v>1</v>
      </c>
      <c r="L62" s="8">
        <v>1</v>
      </c>
      <c r="M62" s="8">
        <v>1</v>
      </c>
      <c r="N62" s="8">
        <v>1</v>
      </c>
    </row>
    <row r="69" spans="1:9" x14ac:dyDescent="0.25">
      <c r="A69" s="6" t="s">
        <v>54</v>
      </c>
      <c r="B69" s="6" t="s">
        <v>55</v>
      </c>
    </row>
    <row r="70" spans="1:9" x14ac:dyDescent="0.25">
      <c r="A70" s="6" t="s">
        <v>50</v>
      </c>
      <c r="B70" t="s">
        <v>2</v>
      </c>
      <c r="C70" t="s">
        <v>3</v>
      </c>
      <c r="D70" t="s">
        <v>4</v>
      </c>
      <c r="E70" t="s">
        <v>5</v>
      </c>
      <c r="F70" t="s">
        <v>6</v>
      </c>
      <c r="G70" t="s">
        <v>7</v>
      </c>
      <c r="H70" t="s">
        <v>8</v>
      </c>
      <c r="I70" t="s">
        <v>51</v>
      </c>
    </row>
    <row r="71" spans="1:9" x14ac:dyDescent="0.25">
      <c r="A71" s="7" t="s">
        <v>29</v>
      </c>
      <c r="B71" s="8">
        <v>0</v>
      </c>
      <c r="C71" s="8">
        <v>0.20689655172413793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8.4745762711864403E-2</v>
      </c>
    </row>
    <row r="72" spans="1:9" x14ac:dyDescent="0.25">
      <c r="A72" s="7" t="s">
        <v>27</v>
      </c>
      <c r="B72" s="8">
        <v>0.14705882352941177</v>
      </c>
      <c r="C72" s="8">
        <v>0</v>
      </c>
      <c r="D72" s="8">
        <v>0</v>
      </c>
      <c r="E72" s="8">
        <v>0.55555555555555558</v>
      </c>
      <c r="F72" s="8">
        <v>0</v>
      </c>
      <c r="G72" s="8">
        <v>0.17241379310344829</v>
      </c>
      <c r="H72" s="8">
        <v>0</v>
      </c>
      <c r="I72" s="8">
        <v>4.2372881355932202E-2</v>
      </c>
    </row>
    <row r="73" spans="1:9" x14ac:dyDescent="0.25">
      <c r="A73" s="7" t="s">
        <v>31</v>
      </c>
      <c r="B73" s="8">
        <v>0</v>
      </c>
      <c r="C73" s="8">
        <v>0</v>
      </c>
      <c r="D73" s="8">
        <v>0.2857142857142857</v>
      </c>
      <c r="E73" s="8">
        <v>0</v>
      </c>
      <c r="F73" s="8">
        <v>0</v>
      </c>
      <c r="G73" s="8">
        <v>0</v>
      </c>
      <c r="H73" s="8">
        <v>0</v>
      </c>
      <c r="I73" s="8">
        <v>3.3898305084745763E-2</v>
      </c>
    </row>
    <row r="74" spans="1:9" x14ac:dyDescent="0.25">
      <c r="A74" s="7" t="s">
        <v>32</v>
      </c>
      <c r="B74" s="8">
        <v>0</v>
      </c>
      <c r="C74" s="8">
        <v>0</v>
      </c>
      <c r="D74" s="8">
        <v>0</v>
      </c>
      <c r="E74" s="8">
        <v>0.44444444444444442</v>
      </c>
      <c r="F74" s="8">
        <v>0</v>
      </c>
      <c r="G74" s="8">
        <v>0</v>
      </c>
      <c r="H74" s="8">
        <v>0</v>
      </c>
      <c r="I74" s="8">
        <v>1.1299435028248588E-2</v>
      </c>
    </row>
    <row r="75" spans="1:9" x14ac:dyDescent="0.25">
      <c r="A75" s="7" t="s">
        <v>34</v>
      </c>
      <c r="B75" s="8">
        <v>0</v>
      </c>
      <c r="C75" s="8">
        <v>0</v>
      </c>
      <c r="D75" s="8">
        <v>0</v>
      </c>
      <c r="E75" s="8">
        <v>0</v>
      </c>
      <c r="F75" s="8">
        <v>0.64516129032258063</v>
      </c>
      <c r="G75" s="8">
        <v>0</v>
      </c>
      <c r="H75" s="8">
        <v>0</v>
      </c>
      <c r="I75" s="8">
        <v>0.16949152542372881</v>
      </c>
    </row>
    <row r="76" spans="1:9" x14ac:dyDescent="0.25">
      <c r="A76" s="7" t="s">
        <v>28</v>
      </c>
      <c r="B76" s="8">
        <v>0.23529411764705882</v>
      </c>
      <c r="C76" s="8">
        <v>0</v>
      </c>
      <c r="D76" s="8">
        <v>0</v>
      </c>
      <c r="E76" s="8">
        <v>0</v>
      </c>
      <c r="F76" s="8">
        <v>0</v>
      </c>
      <c r="G76" s="8">
        <v>0.27586206896551724</v>
      </c>
      <c r="H76" s="8">
        <v>0</v>
      </c>
      <c r="I76" s="8">
        <v>4.519774011299435E-2</v>
      </c>
    </row>
    <row r="77" spans="1:9" x14ac:dyDescent="0.25">
      <c r="A77" s="7" t="s">
        <v>30</v>
      </c>
      <c r="B77" s="8">
        <v>0</v>
      </c>
      <c r="C77" s="8">
        <v>0.68965517241379315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0.2824858757062147</v>
      </c>
    </row>
    <row r="78" spans="1:9" x14ac:dyDescent="0.25">
      <c r="A78" s="7" t="s">
        <v>35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0.34482758620689657</v>
      </c>
      <c r="H78" s="8">
        <v>0</v>
      </c>
      <c r="I78" s="8">
        <v>2.8248587570621469E-2</v>
      </c>
    </row>
    <row r="79" spans="1:9" x14ac:dyDescent="0.25">
      <c r="A79" s="7" t="s">
        <v>25</v>
      </c>
      <c r="B79" s="8">
        <v>0.44117647058823528</v>
      </c>
      <c r="C79" s="8">
        <v>0.10344827586206896</v>
      </c>
      <c r="D79" s="8">
        <v>0.7142857142857143</v>
      </c>
      <c r="E79" s="8">
        <v>0</v>
      </c>
      <c r="F79" s="8">
        <v>0.16129032258064516</v>
      </c>
      <c r="G79" s="8">
        <v>0</v>
      </c>
      <c r="H79" s="8">
        <v>0</v>
      </c>
      <c r="I79" s="8">
        <v>0.21186440677966101</v>
      </c>
    </row>
    <row r="80" spans="1:9" x14ac:dyDescent="0.25">
      <c r="A80" s="7" t="s">
        <v>36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1</v>
      </c>
      <c r="I80" s="8">
        <v>5.6497175141242938E-3</v>
      </c>
    </row>
    <row r="81" spans="1:9" x14ac:dyDescent="0.25">
      <c r="A81" s="7" t="s">
        <v>26</v>
      </c>
      <c r="B81" s="8">
        <v>0.17647058823529413</v>
      </c>
      <c r="C81" s="8">
        <v>0</v>
      </c>
      <c r="D81" s="8">
        <v>0</v>
      </c>
      <c r="E81" s="8">
        <v>0</v>
      </c>
      <c r="F81" s="8">
        <v>0</v>
      </c>
      <c r="G81" s="8">
        <v>0.20689655172413793</v>
      </c>
      <c r="H81" s="8">
        <v>0</v>
      </c>
      <c r="I81" s="8">
        <v>3.3898305084745763E-2</v>
      </c>
    </row>
    <row r="82" spans="1:9" x14ac:dyDescent="0.25">
      <c r="A82" s="7" t="s">
        <v>33</v>
      </c>
      <c r="B82" s="8">
        <v>0</v>
      </c>
      <c r="C82" s="8">
        <v>0</v>
      </c>
      <c r="D82" s="8">
        <v>0</v>
      </c>
      <c r="E82" s="8">
        <v>0</v>
      </c>
      <c r="F82" s="8">
        <v>0.19354838709677419</v>
      </c>
      <c r="G82" s="8">
        <v>0</v>
      </c>
      <c r="H82" s="8">
        <v>0</v>
      </c>
      <c r="I82" s="8">
        <v>5.0847457627118647E-2</v>
      </c>
    </row>
    <row r="83" spans="1:9" x14ac:dyDescent="0.25">
      <c r="A83" s="7" t="s">
        <v>51</v>
      </c>
      <c r="B83" s="8">
        <v>1</v>
      </c>
      <c r="C83" s="8">
        <v>1</v>
      </c>
      <c r="D83" s="8">
        <v>1</v>
      </c>
      <c r="E83" s="8">
        <v>1</v>
      </c>
      <c r="F83" s="8">
        <v>1</v>
      </c>
      <c r="G83" s="8">
        <v>1</v>
      </c>
      <c r="H83" s="8">
        <v>1</v>
      </c>
      <c r="I83" s="8">
        <v>1</v>
      </c>
    </row>
    <row r="85" spans="1:9" x14ac:dyDescent="0.25">
      <c r="A85" s="6" t="s">
        <v>56</v>
      </c>
      <c r="B85" s="6" t="s">
        <v>55</v>
      </c>
    </row>
    <row r="86" spans="1:9" x14ac:dyDescent="0.25">
      <c r="A86" s="6" t="s">
        <v>50</v>
      </c>
      <c r="B86" t="s">
        <v>41</v>
      </c>
      <c r="C86" t="s">
        <v>42</v>
      </c>
      <c r="D86" t="s">
        <v>43</v>
      </c>
      <c r="E86" t="s">
        <v>51</v>
      </c>
    </row>
    <row r="87" spans="1:9" x14ac:dyDescent="0.25">
      <c r="A87" s="7" t="s">
        <v>29</v>
      </c>
      <c r="B87">
        <v>1</v>
      </c>
      <c r="E87">
        <v>1</v>
      </c>
    </row>
    <row r="88" spans="1:9" x14ac:dyDescent="0.25">
      <c r="A88" s="7" t="s">
        <v>27</v>
      </c>
      <c r="B88">
        <v>2</v>
      </c>
      <c r="D88">
        <v>1</v>
      </c>
      <c r="E88">
        <v>3</v>
      </c>
    </row>
    <row r="89" spans="1:9" x14ac:dyDescent="0.25">
      <c r="A89" s="7" t="s">
        <v>31</v>
      </c>
      <c r="D89">
        <v>1</v>
      </c>
      <c r="E89">
        <v>1</v>
      </c>
    </row>
    <row r="90" spans="1:9" x14ac:dyDescent="0.25">
      <c r="A90" s="7" t="s">
        <v>32</v>
      </c>
      <c r="D90">
        <v>1</v>
      </c>
      <c r="E90">
        <v>1</v>
      </c>
    </row>
    <row r="91" spans="1:9" x14ac:dyDescent="0.25">
      <c r="A91" s="7" t="s">
        <v>34</v>
      </c>
      <c r="C91">
        <v>1</v>
      </c>
      <c r="E91">
        <v>1</v>
      </c>
    </row>
    <row r="92" spans="1:9" x14ac:dyDescent="0.25">
      <c r="A92" s="7" t="s">
        <v>28</v>
      </c>
      <c r="D92">
        <v>2</v>
      </c>
      <c r="E92">
        <v>2</v>
      </c>
    </row>
    <row r="93" spans="1:9" x14ac:dyDescent="0.25">
      <c r="A93" s="7" t="s">
        <v>30</v>
      </c>
      <c r="D93">
        <v>1</v>
      </c>
      <c r="E93">
        <v>1</v>
      </c>
    </row>
    <row r="94" spans="1:9" x14ac:dyDescent="0.25">
      <c r="A94" s="7" t="s">
        <v>35</v>
      </c>
      <c r="D94">
        <v>1</v>
      </c>
      <c r="E94">
        <v>1</v>
      </c>
    </row>
    <row r="95" spans="1:9" x14ac:dyDescent="0.25">
      <c r="A95" s="7" t="s">
        <v>25</v>
      </c>
      <c r="B95">
        <v>3</v>
      </c>
      <c r="C95">
        <v>2</v>
      </c>
      <c r="E95">
        <v>5</v>
      </c>
    </row>
    <row r="96" spans="1:9" x14ac:dyDescent="0.25">
      <c r="A96" s="7" t="s">
        <v>36</v>
      </c>
      <c r="C96">
        <v>1</v>
      </c>
      <c r="E96">
        <v>1</v>
      </c>
    </row>
    <row r="97" spans="1:14" x14ac:dyDescent="0.25">
      <c r="A97" s="7" t="s">
        <v>26</v>
      </c>
      <c r="B97">
        <v>1</v>
      </c>
      <c r="C97">
        <v>1</v>
      </c>
      <c r="E97">
        <v>2</v>
      </c>
    </row>
    <row r="98" spans="1:14" x14ac:dyDescent="0.25">
      <c r="A98" s="7" t="s">
        <v>33</v>
      </c>
      <c r="D98">
        <v>1</v>
      </c>
      <c r="E98">
        <v>1</v>
      </c>
    </row>
    <row r="99" spans="1:14" x14ac:dyDescent="0.25">
      <c r="A99" s="7" t="s">
        <v>51</v>
      </c>
      <c r="B99">
        <v>7</v>
      </c>
      <c r="C99">
        <v>5</v>
      </c>
      <c r="D99">
        <v>8</v>
      </c>
      <c r="E99">
        <v>20</v>
      </c>
    </row>
    <row r="101" spans="1:14" x14ac:dyDescent="0.25">
      <c r="A101" s="6" t="s">
        <v>56</v>
      </c>
      <c r="B101" s="6" t="s">
        <v>55</v>
      </c>
    </row>
    <row r="102" spans="1:14" x14ac:dyDescent="0.25">
      <c r="A102" s="6" t="s">
        <v>50</v>
      </c>
      <c r="B102" t="s">
        <v>29</v>
      </c>
      <c r="C102" t="s">
        <v>27</v>
      </c>
      <c r="D102" t="s">
        <v>31</v>
      </c>
      <c r="E102" t="s">
        <v>32</v>
      </c>
      <c r="F102" t="s">
        <v>34</v>
      </c>
      <c r="G102" t="s">
        <v>28</v>
      </c>
      <c r="H102" t="s">
        <v>30</v>
      </c>
      <c r="I102" t="s">
        <v>35</v>
      </c>
      <c r="J102" t="s">
        <v>25</v>
      </c>
      <c r="K102" t="s">
        <v>36</v>
      </c>
      <c r="L102" t="s">
        <v>26</v>
      </c>
      <c r="M102" t="s">
        <v>33</v>
      </c>
      <c r="N102" t="s">
        <v>51</v>
      </c>
    </row>
    <row r="103" spans="1:14" x14ac:dyDescent="0.25">
      <c r="A103" s="7" t="s">
        <v>16</v>
      </c>
      <c r="G103">
        <v>1</v>
      </c>
      <c r="H103">
        <v>1</v>
      </c>
      <c r="N103">
        <v>2</v>
      </c>
    </row>
    <row r="104" spans="1:14" x14ac:dyDescent="0.25">
      <c r="A104" s="7" t="s">
        <v>11</v>
      </c>
      <c r="G104">
        <v>1</v>
      </c>
      <c r="J104">
        <v>1</v>
      </c>
      <c r="M104">
        <v>1</v>
      </c>
      <c r="N104">
        <v>3</v>
      </c>
    </row>
    <row r="105" spans="1:14" x14ac:dyDescent="0.25">
      <c r="A105" s="7" t="s">
        <v>49</v>
      </c>
      <c r="K105">
        <v>1</v>
      </c>
      <c r="N105">
        <v>1</v>
      </c>
    </row>
    <row r="106" spans="1:14" x14ac:dyDescent="0.25">
      <c r="A106" s="7" t="s">
        <v>15</v>
      </c>
      <c r="J106">
        <v>1</v>
      </c>
      <c r="L106">
        <v>1</v>
      </c>
      <c r="N106">
        <v>2</v>
      </c>
    </row>
    <row r="107" spans="1:14" x14ac:dyDescent="0.25">
      <c r="A107" s="7" t="s">
        <v>18</v>
      </c>
      <c r="D107">
        <v>1</v>
      </c>
      <c r="I107">
        <v>1</v>
      </c>
      <c r="N107">
        <v>2</v>
      </c>
    </row>
    <row r="108" spans="1:14" x14ac:dyDescent="0.25">
      <c r="A108" s="7" t="s">
        <v>14</v>
      </c>
      <c r="B108">
        <v>1</v>
      </c>
      <c r="C108">
        <v>1</v>
      </c>
      <c r="N108">
        <v>2</v>
      </c>
    </row>
    <row r="109" spans="1:14" x14ac:dyDescent="0.25">
      <c r="A109" s="7" t="s">
        <v>20</v>
      </c>
      <c r="C109">
        <v>1</v>
      </c>
      <c r="N109">
        <v>1</v>
      </c>
    </row>
    <row r="110" spans="1:14" x14ac:dyDescent="0.25">
      <c r="A110" s="7" t="s">
        <v>19</v>
      </c>
      <c r="J110">
        <v>1</v>
      </c>
      <c r="N110">
        <v>1</v>
      </c>
    </row>
    <row r="111" spans="1:14" x14ac:dyDescent="0.25">
      <c r="A111" s="7" t="s">
        <v>23</v>
      </c>
      <c r="F111">
        <v>1</v>
      </c>
      <c r="N111">
        <v>1</v>
      </c>
    </row>
    <row r="112" spans="1:14" x14ac:dyDescent="0.25">
      <c r="A112" s="7" t="s">
        <v>17</v>
      </c>
      <c r="J112">
        <v>1</v>
      </c>
      <c r="N112">
        <v>1</v>
      </c>
    </row>
    <row r="113" spans="1:14" x14ac:dyDescent="0.25">
      <c r="A113" s="7" t="s">
        <v>12</v>
      </c>
      <c r="L113">
        <v>1</v>
      </c>
      <c r="N113">
        <v>1</v>
      </c>
    </row>
    <row r="114" spans="1:14" x14ac:dyDescent="0.25">
      <c r="A114" s="7" t="s">
        <v>22</v>
      </c>
      <c r="J114">
        <v>1</v>
      </c>
      <c r="N114">
        <v>1</v>
      </c>
    </row>
    <row r="115" spans="1:14" x14ac:dyDescent="0.25">
      <c r="A115" s="7" t="s">
        <v>21</v>
      </c>
      <c r="E115">
        <v>1</v>
      </c>
      <c r="N115">
        <v>1</v>
      </c>
    </row>
    <row r="116" spans="1:14" x14ac:dyDescent="0.25">
      <c r="A116" s="7" t="s">
        <v>13</v>
      </c>
      <c r="C116">
        <v>1</v>
      </c>
      <c r="N116">
        <v>1</v>
      </c>
    </row>
    <row r="117" spans="1:14" x14ac:dyDescent="0.25">
      <c r="A117" s="7" t="s">
        <v>51</v>
      </c>
      <c r="B117">
        <v>1</v>
      </c>
      <c r="C117">
        <v>3</v>
      </c>
      <c r="D117">
        <v>1</v>
      </c>
      <c r="E117">
        <v>1</v>
      </c>
      <c r="F117">
        <v>1</v>
      </c>
      <c r="G117">
        <v>2</v>
      </c>
      <c r="H117">
        <v>1</v>
      </c>
      <c r="I117">
        <v>1</v>
      </c>
      <c r="J117">
        <v>5</v>
      </c>
      <c r="K117">
        <v>1</v>
      </c>
      <c r="L117">
        <v>2</v>
      </c>
      <c r="M117">
        <v>1</v>
      </c>
      <c r="N117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D48D-79C1-4D49-BB93-9940D782EDFF}">
  <sheetPr>
    <tabColor theme="6" tint="0.39997558519241921"/>
  </sheetPr>
  <dimension ref="A1"/>
  <sheetViews>
    <sheetView showGridLines="0" tabSelected="1" workbookViewId="0">
      <selection activeCell="AI2" sqref="AI2"/>
    </sheetView>
  </sheetViews>
  <sheetFormatPr defaultRowHeight="15" x14ac:dyDescent="0.25"/>
  <cols>
    <col min="1" max="16384" width="9.140625" style="9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tablo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DENIZ KAN</dc:creator>
  <cp:lastModifiedBy>JASMIN DENIZ KAN</cp:lastModifiedBy>
  <dcterms:created xsi:type="dcterms:W3CDTF">2025-10-26T13:16:56Z</dcterms:created>
  <dcterms:modified xsi:type="dcterms:W3CDTF">2025-10-27T15:33:36Z</dcterms:modified>
</cp:coreProperties>
</file>