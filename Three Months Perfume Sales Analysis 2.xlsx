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sper\Documents\Github Dashboard\"/>
    </mc:Choice>
  </mc:AlternateContent>
  <xr:revisionPtr revIDLastSave="0" documentId="13_ncr:1_{AB803762-213D-4BB4-B584-3F783A8705DC}" xr6:coauthVersionLast="47" xr6:coauthVersionMax="47" xr10:uidLastSave="{00000000-0000-0000-0000-000000000000}"/>
  <bookViews>
    <workbookView xWindow="-120" yWindow="-120" windowWidth="20730" windowHeight="11160" activeTab="2" xr2:uid="{25EB046A-60EE-41D4-8D43-D63B14972C00}"/>
  </bookViews>
  <sheets>
    <sheet name="Table" sheetId="1" r:id="rId1"/>
    <sheet name="pivot" sheetId="2" r:id="rId2"/>
    <sheet name="dashboard" sheetId="3" r:id="rId3"/>
  </sheets>
  <definedNames>
    <definedName name="_xlchart.v1.0" hidden="1">Table!$K$41:$K$43</definedName>
    <definedName name="_xlchart.v1.1" hidden="1">Table!$L$41:$L$43</definedName>
    <definedName name="Dilimleyici_Brand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  <c r="B53" i="1"/>
  <c r="A53" i="1"/>
</calcChain>
</file>

<file path=xl/sharedStrings.xml><?xml version="1.0" encoding="utf-8"?>
<sst xmlns="http://schemas.openxmlformats.org/spreadsheetml/2006/main" count="229" uniqueCount="40">
  <si>
    <t>Month</t>
  </si>
  <si>
    <t>Brand</t>
  </si>
  <si>
    <t>Perfume Name</t>
  </si>
  <si>
    <t>Unit Sold</t>
  </si>
  <si>
    <t>Target Sold</t>
  </si>
  <si>
    <t>Unit Price (TL)</t>
  </si>
  <si>
    <t>Cost (TL)</t>
  </si>
  <si>
    <t>Income (TL)</t>
  </si>
  <si>
    <t>Profit (TL)</t>
  </si>
  <si>
    <t>June</t>
  </si>
  <si>
    <t>Versace</t>
  </si>
  <si>
    <t>Pour Homme</t>
  </si>
  <si>
    <t>Gucci</t>
  </si>
  <si>
    <t>Flora</t>
  </si>
  <si>
    <t>Dior</t>
  </si>
  <si>
    <t>Fahrenheit</t>
  </si>
  <si>
    <t>Bloom</t>
  </si>
  <si>
    <t>Yves Saint Laurent</t>
  </si>
  <si>
    <t>Y</t>
  </si>
  <si>
    <t>Guilty</t>
  </si>
  <si>
    <t>Chanel</t>
  </si>
  <si>
    <t>Bleu</t>
  </si>
  <si>
    <t>Libre</t>
  </si>
  <si>
    <t>Eros</t>
  </si>
  <si>
    <t>Dylan Blue</t>
  </si>
  <si>
    <t>July</t>
  </si>
  <si>
    <t>Chance</t>
  </si>
  <si>
    <t>Coco Mademoiselle</t>
  </si>
  <si>
    <t>August</t>
  </si>
  <si>
    <t>Sauvage</t>
  </si>
  <si>
    <t>Homme Intense</t>
  </si>
  <si>
    <t>Satır Etiketleri</t>
  </si>
  <si>
    <t>Genel Toplam</t>
  </si>
  <si>
    <t>Toplam Unit Sold</t>
  </si>
  <si>
    <t>Toplam Target Sold</t>
  </si>
  <si>
    <t>Toplam Unit Price (TL)</t>
  </si>
  <si>
    <t>Sütun Etiketleri</t>
  </si>
  <si>
    <t>Toplam Income (TL)</t>
  </si>
  <si>
    <t>Parfüm Markaları</t>
  </si>
  <si>
    <t>Toplam Cost (TL)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</si>
</sst>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[Three Months Perfume Sales Analysis 2.xlsx]pivot!PivotTable3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Prices</a:t>
            </a:r>
            <a:r>
              <a:rPr lang="tr-TR" baseline="0"/>
              <a:t> of Perfumes by Months</a:t>
            </a:r>
            <a:endParaRPr lang="tr-TR"/>
          </a:p>
        </c:rich>
      </c:tx>
      <c:layout>
        <c:manualLayout>
          <c:xMode val="edge"/>
          <c:yMode val="edge"/>
          <c:x val="1.5497365154937017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671937234260814"/>
          <c:y val="0.1115277777777778"/>
          <c:w val="0.64328062765739191"/>
          <c:h val="0.852490296107352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pivot!$B$13:$B$14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pivot!$A$15:$A$34</c:f>
              <c:multiLvlStrCache>
                <c:ptCount val="14"/>
                <c:lvl>
                  <c:pt idx="0">
                    <c:v>Bleu</c:v>
                  </c:pt>
                  <c:pt idx="1">
                    <c:v>Chance</c:v>
                  </c:pt>
                  <c:pt idx="2">
                    <c:v>Coco Mademoiselle</c:v>
                  </c:pt>
                  <c:pt idx="3">
                    <c:v>Fahrenheit</c:v>
                  </c:pt>
                  <c:pt idx="4">
                    <c:v>Homme Intense</c:v>
                  </c:pt>
                  <c:pt idx="5">
                    <c:v>Sauvage</c:v>
                  </c:pt>
                  <c:pt idx="6">
                    <c:v>Bloom</c:v>
                  </c:pt>
                  <c:pt idx="7">
                    <c:v>Flora</c:v>
                  </c:pt>
                  <c:pt idx="8">
                    <c:v>Guilty</c:v>
                  </c:pt>
                  <c:pt idx="9">
                    <c:v>Dylan Blue</c:v>
                  </c:pt>
                  <c:pt idx="10">
                    <c:v>Eros</c:v>
                  </c:pt>
                  <c:pt idx="11">
                    <c:v>Pour Homme</c:v>
                  </c:pt>
                  <c:pt idx="12">
                    <c:v>Libre</c:v>
                  </c:pt>
                  <c:pt idx="13">
                    <c:v>Y</c:v>
                  </c:pt>
                </c:lvl>
                <c:lvl>
                  <c:pt idx="0">
                    <c:v>Chanel</c:v>
                  </c:pt>
                  <c:pt idx="3">
                    <c:v>Dior</c:v>
                  </c:pt>
                  <c:pt idx="6">
                    <c:v>Gucci</c:v>
                  </c:pt>
                  <c:pt idx="9">
                    <c:v>Versace</c:v>
                  </c:pt>
                  <c:pt idx="12">
                    <c:v>Yves Saint Laurent</c:v>
                  </c:pt>
                </c:lvl>
              </c:multiLvlStrCache>
            </c:multiLvlStrRef>
          </c:cat>
          <c:val>
            <c:numRef>
              <c:f>pivot!$B$15:$B$34</c:f>
              <c:numCache>
                <c:formatCode>_-* #,##0_-;\-* #,##0_-;_-* "-"??_-;_-@_-</c:formatCode>
                <c:ptCount val="14"/>
                <c:pt idx="0">
                  <c:v>4031</c:v>
                </c:pt>
                <c:pt idx="3">
                  <c:v>1976</c:v>
                </c:pt>
                <c:pt idx="6">
                  <c:v>5950</c:v>
                </c:pt>
                <c:pt idx="7">
                  <c:v>3764</c:v>
                </c:pt>
                <c:pt idx="8">
                  <c:v>1531</c:v>
                </c:pt>
                <c:pt idx="9">
                  <c:v>1763</c:v>
                </c:pt>
                <c:pt idx="10">
                  <c:v>2156</c:v>
                </c:pt>
                <c:pt idx="11">
                  <c:v>4545</c:v>
                </c:pt>
                <c:pt idx="12">
                  <c:v>2180</c:v>
                </c:pt>
                <c:pt idx="13">
                  <c:v>7040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0-4CCA-863C-58F2AF6B96CA}"/>
            </c:ext>
          </c:extLst>
        </c:ser>
        <c:ser>
          <c:idx val="1"/>
          <c:order val="1"/>
          <c:tx>
            <c:strRef>
              <c:f>pivot!$C$13:$C$14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pivot!$A$15:$A$34</c:f>
              <c:multiLvlStrCache>
                <c:ptCount val="14"/>
                <c:lvl>
                  <c:pt idx="0">
                    <c:v>Bleu</c:v>
                  </c:pt>
                  <c:pt idx="1">
                    <c:v>Chance</c:v>
                  </c:pt>
                  <c:pt idx="2">
                    <c:v>Coco Mademoiselle</c:v>
                  </c:pt>
                  <c:pt idx="3">
                    <c:v>Fahrenheit</c:v>
                  </c:pt>
                  <c:pt idx="4">
                    <c:v>Homme Intense</c:v>
                  </c:pt>
                  <c:pt idx="5">
                    <c:v>Sauvage</c:v>
                  </c:pt>
                  <c:pt idx="6">
                    <c:v>Bloom</c:v>
                  </c:pt>
                  <c:pt idx="7">
                    <c:v>Flora</c:v>
                  </c:pt>
                  <c:pt idx="8">
                    <c:v>Guilty</c:v>
                  </c:pt>
                  <c:pt idx="9">
                    <c:v>Dylan Blue</c:v>
                  </c:pt>
                  <c:pt idx="10">
                    <c:v>Eros</c:v>
                  </c:pt>
                  <c:pt idx="11">
                    <c:v>Pour Homme</c:v>
                  </c:pt>
                  <c:pt idx="12">
                    <c:v>Libre</c:v>
                  </c:pt>
                  <c:pt idx="13">
                    <c:v>Y</c:v>
                  </c:pt>
                </c:lvl>
                <c:lvl>
                  <c:pt idx="0">
                    <c:v>Chanel</c:v>
                  </c:pt>
                  <c:pt idx="3">
                    <c:v>Dior</c:v>
                  </c:pt>
                  <c:pt idx="6">
                    <c:v>Gucci</c:v>
                  </c:pt>
                  <c:pt idx="9">
                    <c:v>Versace</c:v>
                  </c:pt>
                  <c:pt idx="12">
                    <c:v>Yves Saint Laurent</c:v>
                  </c:pt>
                </c:lvl>
              </c:multiLvlStrCache>
            </c:multiLvlStrRef>
          </c:cat>
          <c:val>
            <c:numRef>
              <c:f>pivot!$C$15:$C$34</c:f>
              <c:numCache>
                <c:formatCode>_-* #,##0_-;\-* #,##0_-;_-* "-"??_-;_-@_-</c:formatCode>
                <c:ptCount val="14"/>
                <c:pt idx="0">
                  <c:v>1913</c:v>
                </c:pt>
                <c:pt idx="1">
                  <c:v>6052</c:v>
                </c:pt>
                <c:pt idx="2">
                  <c:v>1755</c:v>
                </c:pt>
                <c:pt idx="3">
                  <c:v>2153</c:v>
                </c:pt>
                <c:pt idx="9">
                  <c:v>2320</c:v>
                </c:pt>
                <c:pt idx="10">
                  <c:v>6244</c:v>
                </c:pt>
                <c:pt idx="12">
                  <c:v>6810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0-4CCA-863C-58F2AF6B96CA}"/>
            </c:ext>
          </c:extLst>
        </c:ser>
        <c:ser>
          <c:idx val="2"/>
          <c:order val="2"/>
          <c:tx>
            <c:strRef>
              <c:f>pivot!$D$13:$D$14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pivot!$A$15:$A$34</c:f>
              <c:multiLvlStrCache>
                <c:ptCount val="14"/>
                <c:lvl>
                  <c:pt idx="0">
                    <c:v>Bleu</c:v>
                  </c:pt>
                  <c:pt idx="1">
                    <c:v>Chance</c:v>
                  </c:pt>
                  <c:pt idx="2">
                    <c:v>Coco Mademoiselle</c:v>
                  </c:pt>
                  <c:pt idx="3">
                    <c:v>Fahrenheit</c:v>
                  </c:pt>
                  <c:pt idx="4">
                    <c:v>Homme Intense</c:v>
                  </c:pt>
                  <c:pt idx="5">
                    <c:v>Sauvage</c:v>
                  </c:pt>
                  <c:pt idx="6">
                    <c:v>Bloom</c:v>
                  </c:pt>
                  <c:pt idx="7">
                    <c:v>Flora</c:v>
                  </c:pt>
                  <c:pt idx="8">
                    <c:v>Guilty</c:v>
                  </c:pt>
                  <c:pt idx="9">
                    <c:v>Dylan Blue</c:v>
                  </c:pt>
                  <c:pt idx="10">
                    <c:v>Eros</c:v>
                  </c:pt>
                  <c:pt idx="11">
                    <c:v>Pour Homme</c:v>
                  </c:pt>
                  <c:pt idx="12">
                    <c:v>Libre</c:v>
                  </c:pt>
                  <c:pt idx="13">
                    <c:v>Y</c:v>
                  </c:pt>
                </c:lvl>
                <c:lvl>
                  <c:pt idx="0">
                    <c:v>Chanel</c:v>
                  </c:pt>
                  <c:pt idx="3">
                    <c:v>Dior</c:v>
                  </c:pt>
                  <c:pt idx="6">
                    <c:v>Gucci</c:v>
                  </c:pt>
                  <c:pt idx="9">
                    <c:v>Versace</c:v>
                  </c:pt>
                  <c:pt idx="12">
                    <c:v>Yves Saint Laurent</c:v>
                  </c:pt>
                </c:lvl>
              </c:multiLvlStrCache>
            </c:multiLvlStrRef>
          </c:cat>
          <c:val>
            <c:numRef>
              <c:f>pivot!$D$15:$D$34</c:f>
              <c:numCache>
                <c:formatCode>_-* #,##0_-;\-* #,##0_-;_-* "-"??_-;_-@_-</c:formatCode>
                <c:ptCount val="14"/>
                <c:pt idx="0">
                  <c:v>2371</c:v>
                </c:pt>
                <c:pt idx="1">
                  <c:v>1561</c:v>
                </c:pt>
                <c:pt idx="2">
                  <c:v>4016</c:v>
                </c:pt>
                <c:pt idx="3">
                  <c:v>2419</c:v>
                </c:pt>
                <c:pt idx="4">
                  <c:v>4074</c:v>
                </c:pt>
                <c:pt idx="5">
                  <c:v>4238</c:v>
                </c:pt>
                <c:pt idx="6">
                  <c:v>4325</c:v>
                </c:pt>
                <c:pt idx="7">
                  <c:v>2053</c:v>
                </c:pt>
                <c:pt idx="8">
                  <c:v>2482</c:v>
                </c:pt>
                <c:pt idx="9">
                  <c:v>1820</c:v>
                </c:pt>
                <c:pt idx="10">
                  <c:v>1572</c:v>
                </c:pt>
                <c:pt idx="11">
                  <c:v>5888</c:v>
                </c:pt>
                <c:pt idx="12">
                  <c:v>2490</c:v>
                </c:pt>
                <c:pt idx="13">
                  <c:v>2391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0-4CCA-863C-58F2AF6B9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71734687"/>
        <c:axId val="771753887"/>
      </c:barChart>
      <c:catAx>
        <c:axId val="77173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1753887"/>
        <c:crosses val="autoZero"/>
        <c:auto val="1"/>
        <c:lblAlgn val="ctr"/>
        <c:lblOffset val="100"/>
        <c:noMultiLvlLbl val="0"/>
      </c:catAx>
      <c:valAx>
        <c:axId val="771753887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77173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15607954666044"/>
          <c:y val="2.4861955546695905E-2"/>
          <c:w val="0.32191070455815662"/>
          <c:h val="6.1785061677416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[Three Months Perfume Sales Analysis 2.xlsx]pivot!PivotTable1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Unit</a:t>
            </a:r>
            <a:r>
              <a:rPr lang="tr-TR" baseline="0"/>
              <a:t> Sold Percentage by Months</a:t>
            </a:r>
            <a:endParaRPr lang="en-US"/>
          </a:p>
        </c:rich>
      </c:tx>
      <c:layout>
        <c:manualLayout>
          <c:xMode val="edge"/>
          <c:yMode val="edge"/>
          <c:x val="1.4513779527559046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672970843183611E-2"/>
          <c:y val="0.21292035398230091"/>
          <c:w val="0.93065405831363279"/>
          <c:h val="0.716283185840707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pivot!$A$2:$A$5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pivot!$B$2:$B$5</c:f>
              <c:numCache>
                <c:formatCode>0.00%</c:formatCode>
                <c:ptCount val="3"/>
                <c:pt idx="1">
                  <c:v>-0.31730237700386954</c:v>
                </c:pt>
                <c:pt idx="2">
                  <c:v>0.47530364372469636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E-4089-B832-A275B8F59C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1760607"/>
        <c:axId val="771761087"/>
      </c:barChart>
      <c:catAx>
        <c:axId val="77176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1761087"/>
        <c:crosses val="autoZero"/>
        <c:auto val="1"/>
        <c:lblAlgn val="ctr"/>
        <c:lblOffset val="100"/>
        <c:noMultiLvlLbl val="0"/>
      </c:catAx>
      <c:valAx>
        <c:axId val="77176108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7176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[Three Months Perfume Sales Analysis 2.xlsx]pivot!PivotTable4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Total</a:t>
            </a:r>
            <a:r>
              <a:rPr lang="tr-TR" baseline="0"/>
              <a:t> Income of Brands by Months</a:t>
            </a:r>
            <a:endParaRPr lang="tr-TR"/>
          </a:p>
        </c:rich>
      </c:tx>
      <c:layout>
        <c:manualLayout>
          <c:xMode val="edge"/>
          <c:yMode val="edge"/>
          <c:x val="2.1784558180227471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pivot!$B$37:$B$38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pivot!$A$39:$A$44</c:f>
              <c:strCache>
                <c:ptCount val="5"/>
                <c:pt idx="0">
                  <c:v>Chanel</c:v>
                </c:pt>
                <c:pt idx="1">
                  <c:v>Dior</c:v>
                </c:pt>
                <c:pt idx="2">
                  <c:v>Gucci</c:v>
                </c:pt>
                <c:pt idx="3">
                  <c:v>Versace</c:v>
                </c:pt>
                <c:pt idx="4">
                  <c:v>Yves Saint Laurent</c:v>
                </c:pt>
              </c:strCache>
            </c:strRef>
          </c:cat>
          <c:val>
            <c:numRef>
              <c:f>pivot!$B$39:$B$44</c:f>
              <c:numCache>
                <c:formatCode>_-* #,##0_-;\-* #,##0_-;_-* "-"??_-;_-@_-</c:formatCode>
                <c:ptCount val="5"/>
                <c:pt idx="0">
                  <c:v>385178</c:v>
                </c:pt>
                <c:pt idx="1">
                  <c:v>268736</c:v>
                </c:pt>
                <c:pt idx="2">
                  <c:v>1377228</c:v>
                </c:pt>
                <c:pt idx="3">
                  <c:v>762900</c:v>
                </c:pt>
                <c:pt idx="4">
                  <c:v>870729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2-4068-8E83-B95866A75F35}"/>
            </c:ext>
          </c:extLst>
        </c:ser>
        <c:ser>
          <c:idx val="1"/>
          <c:order val="1"/>
          <c:tx>
            <c:strRef>
              <c:f>pivot!$C$37:$C$38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pivot!$A$39:$A$44</c:f>
              <c:strCache>
                <c:ptCount val="5"/>
                <c:pt idx="0">
                  <c:v>Chanel</c:v>
                </c:pt>
                <c:pt idx="1">
                  <c:v>Dior</c:v>
                </c:pt>
                <c:pt idx="2">
                  <c:v>Gucci</c:v>
                </c:pt>
                <c:pt idx="3">
                  <c:v>Versace</c:v>
                </c:pt>
                <c:pt idx="4">
                  <c:v>Yves Saint Laurent</c:v>
                </c:pt>
              </c:strCache>
            </c:strRef>
          </c:cat>
          <c:val>
            <c:numRef>
              <c:f>pivot!$C$39:$C$44</c:f>
              <c:numCache>
                <c:formatCode>_-* #,##0_-;\-* #,##0_-;_-* "-"??_-;_-@_-</c:formatCode>
                <c:ptCount val="5"/>
                <c:pt idx="0">
                  <c:v>1144451</c:v>
                </c:pt>
                <c:pt idx="1">
                  <c:v>109803</c:v>
                </c:pt>
                <c:pt idx="3">
                  <c:v>888194</c:v>
                </c:pt>
                <c:pt idx="4">
                  <c:v>405420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02-4068-8E83-B95866A75F35}"/>
            </c:ext>
          </c:extLst>
        </c:ser>
        <c:ser>
          <c:idx val="2"/>
          <c:order val="2"/>
          <c:tx>
            <c:strRef>
              <c:f>pivot!$D$37:$D$38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pivot!$A$39:$A$44</c:f>
              <c:strCache>
                <c:ptCount val="5"/>
                <c:pt idx="0">
                  <c:v>Chanel</c:v>
                </c:pt>
                <c:pt idx="1">
                  <c:v>Dior</c:v>
                </c:pt>
                <c:pt idx="2">
                  <c:v>Gucci</c:v>
                </c:pt>
                <c:pt idx="3">
                  <c:v>Versace</c:v>
                </c:pt>
                <c:pt idx="4">
                  <c:v>Yves Saint Laurent</c:v>
                </c:pt>
              </c:strCache>
            </c:strRef>
          </c:cat>
          <c:val>
            <c:numRef>
              <c:f>pivot!$D$39:$D$44</c:f>
              <c:numCache>
                <c:formatCode>_-* #,##0_-;\-* #,##0_-;_-* "-"??_-;_-@_-</c:formatCode>
                <c:ptCount val="5"/>
                <c:pt idx="0">
                  <c:v>656876</c:v>
                </c:pt>
                <c:pt idx="1">
                  <c:v>984714</c:v>
                </c:pt>
                <c:pt idx="2">
                  <c:v>884939</c:v>
                </c:pt>
                <c:pt idx="3">
                  <c:v>727542</c:v>
                </c:pt>
                <c:pt idx="4">
                  <c:v>554523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02-4068-8E83-B95866A75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1746687"/>
        <c:axId val="771742367"/>
      </c:barChart>
      <c:catAx>
        <c:axId val="77174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1742367"/>
        <c:crosses val="autoZero"/>
        <c:auto val="1"/>
        <c:lblAlgn val="ctr"/>
        <c:lblOffset val="100"/>
        <c:noMultiLvlLbl val="0"/>
      </c:catAx>
      <c:valAx>
        <c:axId val="7717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174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[Three Months Perfume Sales Analysis 2.xlsx]pivot!PivotTable7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Total</a:t>
            </a:r>
            <a:r>
              <a:rPr lang="tr-TR" baseline="0"/>
              <a:t> Cost of Brands by Months</a:t>
            </a:r>
            <a:endParaRPr lang="tr-TR"/>
          </a:p>
        </c:rich>
      </c:tx>
      <c:layout>
        <c:manualLayout>
          <c:xMode val="edge"/>
          <c:yMode val="edge"/>
          <c:x val="2.9916666666666661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pivot!$B$46:$B$47</c:f>
              <c:strCache>
                <c:ptCount val="1"/>
                <c:pt idx="0">
                  <c:v>Chanel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pivot!$A$48:$A$51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pivot!$B$48:$B$51</c:f>
              <c:numCache>
                <c:formatCode>_-* #,##0_-;\-* #,##0_-;_-* "-"??_-;_-@_-</c:formatCode>
                <c:ptCount val="3"/>
                <c:pt idx="0">
                  <c:v>2980</c:v>
                </c:pt>
                <c:pt idx="1">
                  <c:v>6914</c:v>
                </c:pt>
                <c:pt idx="2">
                  <c:v>5831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0-4E50-B4E7-9274505A6D9D}"/>
            </c:ext>
          </c:extLst>
        </c:ser>
        <c:ser>
          <c:idx val="1"/>
          <c:order val="1"/>
          <c:tx>
            <c:strRef>
              <c:f>pivot!$C$46:$C$47</c:f>
              <c:strCache>
                <c:ptCount val="1"/>
                <c:pt idx="0">
                  <c:v>Dior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pivot!$A$48:$A$51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pivot!$C$48:$C$51</c:f>
              <c:numCache>
                <c:formatCode>_-* #,##0_-;\-* #,##0_-;_-* "-"??_-;_-@_-</c:formatCode>
                <c:ptCount val="3"/>
                <c:pt idx="0">
                  <c:v>1419</c:v>
                </c:pt>
                <c:pt idx="1">
                  <c:v>1484</c:v>
                </c:pt>
                <c:pt idx="2">
                  <c:v>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50-4E50-B4E7-9274505A6D9D}"/>
            </c:ext>
          </c:extLst>
        </c:ser>
        <c:ser>
          <c:idx val="2"/>
          <c:order val="2"/>
          <c:tx>
            <c:strRef>
              <c:f>pivot!$D$46:$D$47</c:f>
              <c:strCache>
                <c:ptCount val="1"/>
                <c:pt idx="0">
                  <c:v>Gucci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pivot!$A$48:$A$51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pivot!$D$48:$D$51</c:f>
              <c:numCache>
                <c:formatCode>_-* #,##0_-;\-* #,##0_-;_-* "-"??_-;_-@_-</c:formatCode>
                <c:ptCount val="3"/>
                <c:pt idx="0">
                  <c:v>8175</c:v>
                </c:pt>
                <c:pt idx="2">
                  <c:v>6620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50-4E50-B4E7-9274505A6D9D}"/>
            </c:ext>
          </c:extLst>
        </c:ser>
        <c:ser>
          <c:idx val="3"/>
          <c:order val="3"/>
          <c:tx>
            <c:strRef>
              <c:f>pivot!$E$46:$E$47</c:f>
              <c:strCache>
                <c:ptCount val="1"/>
                <c:pt idx="0">
                  <c:v>Versace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pivot!$A$48:$A$51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pivot!$E$48:$E$51</c:f>
              <c:numCache>
                <c:formatCode>_-* #,##0_-;\-* #,##0_-;_-* "-"??_-;_-@_-</c:formatCode>
                <c:ptCount val="3"/>
                <c:pt idx="0">
                  <c:v>5963</c:v>
                </c:pt>
                <c:pt idx="1">
                  <c:v>7081</c:v>
                </c:pt>
                <c:pt idx="2">
                  <c:v>6516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50-4E50-B4E7-9274505A6D9D}"/>
            </c:ext>
          </c:extLst>
        </c:ser>
        <c:ser>
          <c:idx val="4"/>
          <c:order val="4"/>
          <c:tx>
            <c:strRef>
              <c:f>pivot!$F$46:$F$47</c:f>
              <c:strCache>
                <c:ptCount val="1"/>
                <c:pt idx="0">
                  <c:v>Yves Saint Laurent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pivot!$A$48:$A$51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pivot!$F$48:$F$51</c:f>
              <c:numCache>
                <c:formatCode>_-* #,##0_-;\-* #,##0_-;_-* "-"??_-;_-@_-</c:formatCode>
                <c:ptCount val="3"/>
                <c:pt idx="0">
                  <c:v>5793</c:v>
                </c:pt>
                <c:pt idx="1">
                  <c:v>4589</c:v>
                </c:pt>
                <c:pt idx="2">
                  <c:v>3816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50-4E50-B4E7-9274505A6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168592"/>
        <c:axId val="1281180592"/>
      </c:lineChart>
      <c:catAx>
        <c:axId val="128116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81180592"/>
        <c:crosses val="autoZero"/>
        <c:auto val="1"/>
        <c:lblAlgn val="ctr"/>
        <c:lblOffset val="100"/>
        <c:noMultiLvlLbl val="0"/>
      </c:catAx>
      <c:valAx>
        <c:axId val="128118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8116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Target Sales Changes by Months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Target Sales Changes by Months</a:t>
          </a:r>
        </a:p>
      </cx:txPr>
    </cx:title>
    <cx:plotArea>
      <cx:plotAreaRegion>
        <cx:series layoutId="waterfall" uniqueId="{17F1C590-CBF1-4B19-AF6E-F48745B4B10D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tr-TR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47625</xdr:rowOff>
    </xdr:from>
    <xdr:to>
      <xdr:col>15</xdr:col>
      <xdr:colOff>466725</xdr:colOff>
      <xdr:row>2</xdr:row>
      <xdr:rowOff>76200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F73D1266-C8E3-DF54-7684-AFAA56157A2A}"/>
            </a:ext>
          </a:extLst>
        </xdr:cNvPr>
        <xdr:cNvSpPr/>
      </xdr:nvSpPr>
      <xdr:spPr>
        <a:xfrm>
          <a:off x="2457450" y="47625"/>
          <a:ext cx="7153275" cy="409575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000"/>
            <a:t>July Perfume Sales</a:t>
          </a:r>
          <a:r>
            <a:rPr lang="tr-TR" sz="2000" baseline="0"/>
            <a:t> Analysis </a:t>
          </a:r>
          <a:endParaRPr lang="tr-TR" sz="2000"/>
        </a:p>
      </xdr:txBody>
    </xdr:sp>
    <xdr:clientData/>
  </xdr:twoCellAnchor>
  <xdr:twoCellAnchor>
    <xdr:from>
      <xdr:col>10</xdr:col>
      <xdr:colOff>514350</xdr:colOff>
      <xdr:row>2</xdr:row>
      <xdr:rowOff>152400</xdr:rowOff>
    </xdr:from>
    <xdr:to>
      <xdr:col>13</xdr:col>
      <xdr:colOff>552450</xdr:colOff>
      <xdr:row>6</xdr:row>
      <xdr:rowOff>85725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8A81F815-F71A-766E-AAB4-F33C24BFDC99}"/>
            </a:ext>
          </a:extLst>
        </xdr:cNvPr>
        <xdr:cNvSpPr/>
      </xdr:nvSpPr>
      <xdr:spPr>
        <a:xfrm>
          <a:off x="6610350" y="533400"/>
          <a:ext cx="1866900" cy="695325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/>
            <a:t>Total Income on July</a:t>
          </a:r>
        </a:p>
        <a:p>
          <a:pPr algn="ctr"/>
          <a:r>
            <a:rPr lang="tr-TR" sz="1400"/>
            <a:t>2.547.868 TL</a:t>
          </a:r>
        </a:p>
      </xdr:txBody>
    </xdr:sp>
    <xdr:clientData/>
  </xdr:twoCellAnchor>
  <xdr:twoCellAnchor>
    <xdr:from>
      <xdr:col>14</xdr:col>
      <xdr:colOff>85725</xdr:colOff>
      <xdr:row>2</xdr:row>
      <xdr:rowOff>152400</xdr:rowOff>
    </xdr:from>
    <xdr:to>
      <xdr:col>17</xdr:col>
      <xdr:colOff>123825</xdr:colOff>
      <xdr:row>6</xdr:row>
      <xdr:rowOff>85725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B7B361B0-7E03-46C0-A6FB-AF68CB321E4D}"/>
            </a:ext>
          </a:extLst>
        </xdr:cNvPr>
        <xdr:cNvSpPr/>
      </xdr:nvSpPr>
      <xdr:spPr>
        <a:xfrm>
          <a:off x="8620125" y="533400"/>
          <a:ext cx="1866900" cy="695325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/>
            <a:t>Total Cost on July</a:t>
          </a:r>
        </a:p>
        <a:p>
          <a:pPr algn="ctr"/>
          <a:r>
            <a:rPr lang="tr-TR" sz="1400"/>
            <a:t>20.068</a:t>
          </a:r>
          <a:r>
            <a:rPr lang="tr-TR" sz="1400" baseline="0"/>
            <a:t> TL </a:t>
          </a:r>
          <a:endParaRPr lang="tr-TR" sz="1400"/>
        </a:p>
      </xdr:txBody>
    </xdr:sp>
    <xdr:clientData/>
  </xdr:twoCellAnchor>
  <xdr:twoCellAnchor>
    <xdr:from>
      <xdr:col>17</xdr:col>
      <xdr:colOff>257175</xdr:colOff>
      <xdr:row>2</xdr:row>
      <xdr:rowOff>133350</xdr:rowOff>
    </xdr:from>
    <xdr:to>
      <xdr:col>20</xdr:col>
      <xdr:colOff>295275</xdr:colOff>
      <xdr:row>6</xdr:row>
      <xdr:rowOff>66675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B7C832C1-1231-4203-A7CA-5FF6EF956F65}"/>
            </a:ext>
          </a:extLst>
        </xdr:cNvPr>
        <xdr:cNvSpPr/>
      </xdr:nvSpPr>
      <xdr:spPr>
        <a:xfrm>
          <a:off x="10620375" y="514350"/>
          <a:ext cx="1866900" cy="695325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/>
            <a:t>Total Profit on July</a:t>
          </a:r>
        </a:p>
        <a:p>
          <a:pPr algn="ctr"/>
          <a:r>
            <a:rPr lang="tr-TR" sz="1400"/>
            <a:t>2.527.800</a:t>
          </a:r>
          <a:r>
            <a:rPr lang="tr-TR" sz="1400" baseline="0"/>
            <a:t> TL</a:t>
          </a:r>
          <a:endParaRPr lang="tr-TR" sz="1400"/>
        </a:p>
      </xdr:txBody>
    </xdr:sp>
    <xdr:clientData/>
  </xdr:twoCellAnchor>
  <xdr:twoCellAnchor>
    <xdr:from>
      <xdr:col>0</xdr:col>
      <xdr:colOff>0</xdr:colOff>
      <xdr:row>2</xdr:row>
      <xdr:rowOff>161925</xdr:rowOff>
    </xdr:from>
    <xdr:to>
      <xdr:col>5</xdr:col>
      <xdr:colOff>485775</xdr:colOff>
      <xdr:row>30</xdr:row>
      <xdr:rowOff>95250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3B77A78D-43CC-4CC3-A6C4-AAF5C87FC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523876</xdr:colOff>
      <xdr:row>18</xdr:row>
      <xdr:rowOff>66676</xdr:rowOff>
    </xdr:from>
    <xdr:to>
      <xdr:col>12</xdr:col>
      <xdr:colOff>238126</xdr:colOff>
      <xdr:row>30</xdr:row>
      <xdr:rowOff>104776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fik 6">
              <a:extLst>
                <a:ext uri="{FF2B5EF4-FFF2-40B4-BE49-F238E27FC236}">
                  <a16:creationId xmlns:a16="http://schemas.microsoft.com/office/drawing/2014/main" id="{C7B5F978-A789-490A-A5CF-908C054EB6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876" y="3495676"/>
              <a:ext cx="3981450" cy="2324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5</xdr:col>
      <xdr:colOff>514350</xdr:colOff>
      <xdr:row>6</xdr:row>
      <xdr:rowOff>133350</xdr:rowOff>
    </xdr:from>
    <xdr:to>
      <xdr:col>12</xdr:col>
      <xdr:colOff>276225</xdr:colOff>
      <xdr:row>18</xdr:row>
      <xdr:rowOff>0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54BCC3AB-5E0B-4574-B8E5-0ABC80A3A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352424</xdr:colOff>
      <xdr:row>6</xdr:row>
      <xdr:rowOff>123825</xdr:rowOff>
    </xdr:from>
    <xdr:to>
      <xdr:col>20</xdr:col>
      <xdr:colOff>342899</xdr:colOff>
      <xdr:row>18</xdr:row>
      <xdr:rowOff>57150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7FABEAAD-5A0E-4088-88CA-2FC0996C0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323849</xdr:colOff>
      <xdr:row>18</xdr:row>
      <xdr:rowOff>95249</xdr:rowOff>
    </xdr:from>
    <xdr:to>
      <xdr:col>20</xdr:col>
      <xdr:colOff>314324</xdr:colOff>
      <xdr:row>30</xdr:row>
      <xdr:rowOff>133350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C416DC4B-A167-4AC1-86B6-61511833D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523875</xdr:colOff>
      <xdr:row>2</xdr:row>
      <xdr:rowOff>171450</xdr:rowOff>
    </xdr:from>
    <xdr:to>
      <xdr:col>10</xdr:col>
      <xdr:colOff>461625</xdr:colOff>
      <xdr:row>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Brand">
              <a:extLst>
                <a:ext uri="{FF2B5EF4-FFF2-40B4-BE49-F238E27FC236}">
                  <a16:creationId xmlns:a16="http://schemas.microsoft.com/office/drawing/2014/main" id="{F73E9080-F2D2-4069-9B74-0AC996F886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875" y="552450"/>
              <a:ext cx="2985750" cy="68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per" refreshedDate="46068.716171643522" createdVersion="8" refreshedVersion="8" minRefreshableVersion="3" recordCount="50" xr:uid="{993C20E6-F0D8-46A5-A340-111773B9E8CE}">
  <cacheSource type="worksheet">
    <worksheetSource ref="A1:I51" sheet="Table"/>
  </cacheSource>
  <cacheFields count="9">
    <cacheField name="Month" numFmtId="0">
      <sharedItems count="3">
        <s v="June"/>
        <s v="July"/>
        <s v="August"/>
      </sharedItems>
    </cacheField>
    <cacheField name="Brand" numFmtId="0">
      <sharedItems count="5">
        <s v="Versace"/>
        <s v="Gucci"/>
        <s v="Dior"/>
        <s v="Yves Saint Laurent"/>
        <s v="Chanel"/>
      </sharedItems>
    </cacheField>
    <cacheField name="Perfume Name" numFmtId="0">
      <sharedItems count="14">
        <s v="Pour Homme"/>
        <s v="Flora"/>
        <s v="Fahrenheit"/>
        <s v="Bloom"/>
        <s v="Y"/>
        <s v="Guilty"/>
        <s v="Bleu"/>
        <s v="Libre"/>
        <s v="Eros"/>
        <s v="Dylan Blue"/>
        <s v="Chance"/>
        <s v="Coco Mademoiselle"/>
        <s v="Sauvage"/>
        <s v="Homme Intense"/>
      </sharedItems>
    </cacheField>
    <cacheField name="Unit Sold" numFmtId="0">
      <sharedItems containsSemiMixedTypes="0" containsString="0" containsNumber="1" containsInteger="1" minValue="51" maxValue="150"/>
    </cacheField>
    <cacheField name="Target Sold" numFmtId="0">
      <sharedItems containsSemiMixedTypes="0" containsString="0" containsNumber="1" containsInteger="1" minValue="81" maxValue="129"/>
    </cacheField>
    <cacheField name="Unit Price (TL)" numFmtId="164">
      <sharedItems containsSemiMixedTypes="0" containsString="0" containsNumber="1" containsInteger="1" minValue="1521" maxValue="2491"/>
    </cacheField>
    <cacheField name="Cost (TL)" numFmtId="164">
      <sharedItems containsSemiMixedTypes="0" containsString="0" containsNumber="1" containsInteger="1" minValue="1024" maxValue="2222"/>
    </cacheField>
    <cacheField name="Income (TL)" numFmtId="164">
      <sharedItems containsSemiMixedTypes="0" containsString="0" containsNumber="1" containsInteger="1" minValue="103582" maxValue="356070"/>
    </cacheField>
    <cacheField name="Profit (TL)" numFmtId="164">
      <sharedItems containsSemiMixedTypes="0" containsString="0" containsNumber="1" containsInteger="1" minValue="8308" maxValue="155104"/>
    </cacheField>
  </cacheFields>
  <extLst>
    <ext xmlns:x14="http://schemas.microsoft.com/office/spreadsheetml/2009/9/main" uri="{725AE2AE-9491-48be-B2B4-4EB974FC3084}">
      <x14:pivotCacheDefinition pivotCacheId="9703446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n v="69"/>
    <n v="101"/>
    <n v="2491"/>
    <n v="2103"/>
    <n v="171879"/>
    <n v="26772"/>
  </r>
  <r>
    <x v="0"/>
    <x v="1"/>
    <x v="1"/>
    <n v="148"/>
    <n v="115"/>
    <n v="1735"/>
    <n v="1245"/>
    <n v="256780"/>
    <n v="72520"/>
  </r>
  <r>
    <x v="0"/>
    <x v="2"/>
    <x v="2"/>
    <n v="136"/>
    <n v="100"/>
    <n v="1976"/>
    <n v="1419"/>
    <n v="268736"/>
    <n v="75752"/>
  </r>
  <r>
    <x v="0"/>
    <x v="0"/>
    <x v="0"/>
    <n v="102"/>
    <n v="96"/>
    <n v="2054"/>
    <n v="1593"/>
    <n v="209508"/>
    <n v="47022"/>
  </r>
  <r>
    <x v="0"/>
    <x v="1"/>
    <x v="3"/>
    <n v="114"/>
    <n v="108"/>
    <n v="2129"/>
    <n v="1201"/>
    <n v="242706"/>
    <n v="105792"/>
  </r>
  <r>
    <x v="0"/>
    <x v="3"/>
    <x v="4"/>
    <n v="135"/>
    <n v="117"/>
    <n v="2375"/>
    <n v="1286"/>
    <n v="320625"/>
    <n v="147015"/>
  </r>
  <r>
    <x v="0"/>
    <x v="1"/>
    <x v="5"/>
    <n v="72"/>
    <n v="128"/>
    <n v="1531"/>
    <n v="1095"/>
    <n v="110232"/>
    <n v="31392"/>
  </r>
  <r>
    <x v="0"/>
    <x v="1"/>
    <x v="3"/>
    <n v="111"/>
    <n v="114"/>
    <n v="2300"/>
    <n v="1411"/>
    <n v="255300"/>
    <n v="98679"/>
  </r>
  <r>
    <x v="0"/>
    <x v="1"/>
    <x v="1"/>
    <n v="140"/>
    <n v="95"/>
    <n v="2029"/>
    <n v="1805"/>
    <n v="284060"/>
    <n v="31360"/>
  </r>
  <r>
    <x v="0"/>
    <x v="3"/>
    <x v="4"/>
    <n v="82"/>
    <n v="117"/>
    <n v="2459"/>
    <n v="2222"/>
    <n v="201638"/>
    <n v="19434"/>
  </r>
  <r>
    <x v="0"/>
    <x v="4"/>
    <x v="6"/>
    <n v="118"/>
    <n v="89"/>
    <n v="1769"/>
    <n v="1071"/>
    <n v="208742"/>
    <n v="82364"/>
  </r>
  <r>
    <x v="0"/>
    <x v="4"/>
    <x v="6"/>
    <n v="78"/>
    <n v="111"/>
    <n v="2262"/>
    <n v="1909"/>
    <n v="176436"/>
    <n v="27534"/>
  </r>
  <r>
    <x v="0"/>
    <x v="3"/>
    <x v="7"/>
    <n v="88"/>
    <n v="126"/>
    <n v="2180"/>
    <n v="1204"/>
    <n v="191840"/>
    <n v="85888"/>
  </r>
  <r>
    <x v="0"/>
    <x v="1"/>
    <x v="3"/>
    <n v="150"/>
    <n v="127"/>
    <n v="1521"/>
    <n v="1418"/>
    <n v="228150"/>
    <n v="15450"/>
  </r>
  <r>
    <x v="0"/>
    <x v="0"/>
    <x v="8"/>
    <n v="96"/>
    <n v="117"/>
    <n v="2156"/>
    <n v="1151"/>
    <n v="206976"/>
    <n v="96480"/>
  </r>
  <r>
    <x v="0"/>
    <x v="0"/>
    <x v="9"/>
    <n v="99"/>
    <n v="87"/>
    <n v="1763"/>
    <n v="1116"/>
    <n v="174537"/>
    <n v="64053"/>
  </r>
  <r>
    <x v="0"/>
    <x v="3"/>
    <x v="4"/>
    <n v="71"/>
    <n v="81"/>
    <n v="2206"/>
    <n v="1081"/>
    <n v="156626"/>
    <n v="79875"/>
  </r>
  <r>
    <x v="1"/>
    <x v="4"/>
    <x v="10"/>
    <n v="131"/>
    <n v="94"/>
    <n v="2266"/>
    <n v="1082"/>
    <n v="296846"/>
    <n v="155104"/>
  </r>
  <r>
    <x v="1"/>
    <x v="2"/>
    <x v="2"/>
    <n v="51"/>
    <n v="113"/>
    <n v="2153"/>
    <n v="1484"/>
    <n v="109803"/>
    <n v="34119"/>
  </r>
  <r>
    <x v="1"/>
    <x v="3"/>
    <x v="7"/>
    <n v="62"/>
    <n v="113"/>
    <n v="1925"/>
    <n v="1170"/>
    <n v="119350"/>
    <n v="46810"/>
  </r>
  <r>
    <x v="1"/>
    <x v="0"/>
    <x v="8"/>
    <n v="69"/>
    <n v="87"/>
    <n v="2224"/>
    <n v="1514"/>
    <n v="153456"/>
    <n v="48990"/>
  </r>
  <r>
    <x v="1"/>
    <x v="4"/>
    <x v="10"/>
    <n v="53"/>
    <n v="111"/>
    <n v="1978"/>
    <n v="1419"/>
    <n v="104834"/>
    <n v="29627"/>
  </r>
  <r>
    <x v="1"/>
    <x v="3"/>
    <x v="7"/>
    <n v="55"/>
    <n v="129"/>
    <n v="2400"/>
    <n v="1672"/>
    <n v="132000"/>
    <n v="40040"/>
  </r>
  <r>
    <x v="1"/>
    <x v="4"/>
    <x v="11"/>
    <n v="135"/>
    <n v="113"/>
    <n v="1755"/>
    <n v="1276"/>
    <n v="236925"/>
    <n v="64665"/>
  </r>
  <r>
    <x v="1"/>
    <x v="0"/>
    <x v="8"/>
    <n v="86"/>
    <n v="93"/>
    <n v="1942"/>
    <n v="1787"/>
    <n v="167012"/>
    <n v="13330"/>
  </r>
  <r>
    <x v="1"/>
    <x v="3"/>
    <x v="7"/>
    <n v="62"/>
    <n v="87"/>
    <n v="2485"/>
    <n v="1747"/>
    <n v="154070"/>
    <n v="45756"/>
  </r>
  <r>
    <x v="1"/>
    <x v="4"/>
    <x v="10"/>
    <n v="138"/>
    <n v="111"/>
    <n v="1808"/>
    <n v="1702"/>
    <n v="249504"/>
    <n v="14628"/>
  </r>
  <r>
    <x v="1"/>
    <x v="0"/>
    <x v="9"/>
    <n v="122"/>
    <n v="117"/>
    <n v="2320"/>
    <n v="2055"/>
    <n v="283040"/>
    <n v="32330"/>
  </r>
  <r>
    <x v="1"/>
    <x v="4"/>
    <x v="6"/>
    <n v="134"/>
    <n v="97"/>
    <n v="1913"/>
    <n v="1435"/>
    <n v="256342"/>
    <n v="64052"/>
  </r>
  <r>
    <x v="1"/>
    <x v="0"/>
    <x v="8"/>
    <n v="137"/>
    <n v="108"/>
    <n v="2078"/>
    <n v="1725"/>
    <n v="284686"/>
    <n v="48361"/>
  </r>
  <r>
    <x v="2"/>
    <x v="0"/>
    <x v="0"/>
    <n v="88"/>
    <n v="98"/>
    <n v="2143"/>
    <n v="1653"/>
    <n v="188584"/>
    <n v="43120"/>
  </r>
  <r>
    <x v="2"/>
    <x v="3"/>
    <x v="7"/>
    <n v="143"/>
    <n v="104"/>
    <n v="2490"/>
    <n v="2035"/>
    <n v="356070"/>
    <n v="65065"/>
  </r>
  <r>
    <x v="2"/>
    <x v="2"/>
    <x v="12"/>
    <n v="119"/>
    <n v="124"/>
    <n v="2319"/>
    <n v="1133"/>
    <n v="275961"/>
    <n v="141134"/>
  </r>
  <r>
    <x v="2"/>
    <x v="1"/>
    <x v="5"/>
    <n v="77"/>
    <n v="82"/>
    <n v="2482"/>
    <n v="1974"/>
    <n v="191114"/>
    <n v="39116"/>
  </r>
  <r>
    <x v="2"/>
    <x v="0"/>
    <x v="0"/>
    <n v="56"/>
    <n v="112"/>
    <n v="2152"/>
    <n v="1305"/>
    <n v="120512"/>
    <n v="47432"/>
  </r>
  <r>
    <x v="2"/>
    <x v="0"/>
    <x v="9"/>
    <n v="96"/>
    <n v="113"/>
    <n v="1820"/>
    <n v="1086"/>
    <n v="174720"/>
    <n v="70464"/>
  </r>
  <r>
    <x v="2"/>
    <x v="1"/>
    <x v="1"/>
    <n v="150"/>
    <n v="104"/>
    <n v="2053"/>
    <n v="1119"/>
    <n v="307950"/>
    <n v="140100"/>
  </r>
  <r>
    <x v="2"/>
    <x v="2"/>
    <x v="13"/>
    <n v="108"/>
    <n v="120"/>
    <n v="1653"/>
    <n v="1278"/>
    <n v="178524"/>
    <n v="40500"/>
  </r>
  <r>
    <x v="2"/>
    <x v="2"/>
    <x v="12"/>
    <n v="67"/>
    <n v="82"/>
    <n v="1919"/>
    <n v="1427"/>
    <n v="128573"/>
    <n v="32964"/>
  </r>
  <r>
    <x v="2"/>
    <x v="1"/>
    <x v="3"/>
    <n v="138"/>
    <n v="120"/>
    <n v="1900"/>
    <n v="1759"/>
    <n v="262200"/>
    <n v="19458"/>
  </r>
  <r>
    <x v="2"/>
    <x v="3"/>
    <x v="4"/>
    <n v="83"/>
    <n v="125"/>
    <n v="2391"/>
    <n v="1781"/>
    <n v="198453"/>
    <n v="50630"/>
  </r>
  <r>
    <x v="2"/>
    <x v="0"/>
    <x v="8"/>
    <n v="76"/>
    <n v="83"/>
    <n v="1572"/>
    <n v="1229"/>
    <n v="119472"/>
    <n v="26068"/>
  </r>
  <r>
    <x v="2"/>
    <x v="1"/>
    <x v="3"/>
    <n v="51"/>
    <n v="127"/>
    <n v="2425"/>
    <n v="1768"/>
    <n v="123675"/>
    <n v="33507"/>
  </r>
  <r>
    <x v="2"/>
    <x v="2"/>
    <x v="2"/>
    <n v="115"/>
    <n v="127"/>
    <n v="2419"/>
    <n v="1479"/>
    <n v="278185"/>
    <n v="108100"/>
  </r>
  <r>
    <x v="2"/>
    <x v="2"/>
    <x v="13"/>
    <n v="51"/>
    <n v="89"/>
    <n v="2421"/>
    <n v="1351"/>
    <n v="123471"/>
    <n v="54570"/>
  </r>
  <r>
    <x v="2"/>
    <x v="4"/>
    <x v="6"/>
    <n v="111"/>
    <n v="116"/>
    <n v="2371"/>
    <n v="2009"/>
    <n v="263181"/>
    <n v="40182"/>
  </r>
  <r>
    <x v="2"/>
    <x v="4"/>
    <x v="11"/>
    <n v="67"/>
    <n v="110"/>
    <n v="1546"/>
    <n v="1422"/>
    <n v="103582"/>
    <n v="8308"/>
  </r>
  <r>
    <x v="2"/>
    <x v="0"/>
    <x v="0"/>
    <n v="78"/>
    <n v="125"/>
    <n v="1593"/>
    <n v="1243"/>
    <n v="124254"/>
    <n v="27300"/>
  </r>
  <r>
    <x v="2"/>
    <x v="4"/>
    <x v="10"/>
    <n v="83"/>
    <n v="84"/>
    <n v="1561"/>
    <n v="1024"/>
    <n v="129563"/>
    <n v="44571"/>
  </r>
  <r>
    <x v="2"/>
    <x v="4"/>
    <x v="11"/>
    <n v="65"/>
    <n v="97"/>
    <n v="2470"/>
    <n v="1376"/>
    <n v="160550"/>
    <n v="711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42754-B124-4BEA-8B28-324A9D0C5907}" name="PivotTable3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0">
  <location ref="A13:E34" firstHeaderRow="1" firstDataRow="2" firstDataCol="1"/>
  <pivotFields count="9"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4"/>
        <item x="2"/>
        <item x="1"/>
        <item x="0"/>
        <item x="3"/>
        <item t="default"/>
      </items>
    </pivotField>
    <pivotField axis="axisRow" showAll="0">
      <items count="15">
        <item x="6"/>
        <item x="3"/>
        <item x="10"/>
        <item x="11"/>
        <item x="9"/>
        <item x="8"/>
        <item x="2"/>
        <item x="1"/>
        <item x="5"/>
        <item x="13"/>
        <item x="7"/>
        <item x="0"/>
        <item x="12"/>
        <item x="4"/>
        <item t="default"/>
      </items>
    </pivotField>
    <pivotField showAll="0"/>
    <pivotField showAll="0"/>
    <pivotField dataField="1" numFmtId="164" showAll="0"/>
    <pivotField numFmtId="164" showAll="0"/>
    <pivotField numFmtId="164" showAll="0"/>
    <pivotField numFmtId="164" showAll="0"/>
  </pivotFields>
  <rowFields count="2">
    <field x="1"/>
    <field x="2"/>
  </rowFields>
  <rowItems count="20">
    <i>
      <x/>
    </i>
    <i r="1">
      <x/>
    </i>
    <i r="1">
      <x v="2"/>
    </i>
    <i r="1">
      <x v="3"/>
    </i>
    <i>
      <x v="1"/>
    </i>
    <i r="1">
      <x v="6"/>
    </i>
    <i r="1">
      <x v="9"/>
    </i>
    <i r="1">
      <x v="12"/>
    </i>
    <i>
      <x v="2"/>
    </i>
    <i r="1">
      <x v="1"/>
    </i>
    <i r="1">
      <x v="7"/>
    </i>
    <i r="1">
      <x v="8"/>
    </i>
    <i>
      <x v="3"/>
    </i>
    <i r="1">
      <x v="4"/>
    </i>
    <i r="1">
      <x v="5"/>
    </i>
    <i r="1">
      <x v="11"/>
    </i>
    <i>
      <x v="4"/>
    </i>
    <i r="1">
      <x v="10"/>
    </i>
    <i r="1">
      <x v="1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Toplam Unit Price (TL)" fld="5" baseField="1" baseItem="1048828" numFmtId="164"/>
  </dataField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72A03-A26C-4EF4-A001-09FECF41110A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7:B11" firstHeaderRow="1" firstDataRow="1" firstDataCol="1"/>
  <pivotFields count="9">
    <pivotField axis="axisRow" showAll="0">
      <items count="4">
        <item x="0"/>
        <item x="1"/>
        <item x="2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Target Sold" fld="4" showDataAs="difference" baseField="0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4D43E-21E5-4AAF-86EE-9F33191EDAF5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9">
    <pivotField axis="axisRow" showAll="0">
      <items count="4">
        <item x="0"/>
        <item x="1"/>
        <item x="2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showAll="0"/>
    <pivotField dataField="1" showAll="0"/>
    <pivotField showAll="0"/>
    <pivotField numFmtId="164" showAll="0"/>
    <pivotField numFmtId="164" showAll="0"/>
    <pivotField numFmtId="164" showAll="0"/>
    <pivotField numFmtId="16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Unit Sold" fld="3" showDataAs="percentDiff" baseField="0" baseItem="1048828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D89B4-9FB0-4B75-88E0-896238C696BC}" name="PivotTable7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46:G51" firstHeaderRow="1" firstDataRow="2" firstDataCol="1"/>
  <pivotFields count="9">
    <pivotField axis="axisRow" showAll="0">
      <items count="4">
        <item x="0"/>
        <item x="1"/>
        <item x="2"/>
        <item t="default"/>
      </items>
    </pivotField>
    <pivotField axis="axisCol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plam Cost (TL)" fld="6" baseField="0" baseItem="0" numFmtId="164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9779D-C812-42C0-8F44-5D7C52CCF74E}" name="PivotTable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37:E44" firstHeaderRow="1" firstDataRow="2" firstDataCol="1"/>
  <pivotFields count="9"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4"/>
        <item x="2"/>
        <item x="1"/>
        <item x="0"/>
        <item x="3"/>
        <item t="default"/>
      </items>
    </pivotField>
    <pivotField showAll="0">
      <items count="15">
        <item x="6"/>
        <item x="3"/>
        <item x="10"/>
        <item x="11"/>
        <item x="9"/>
        <item x="8"/>
        <item x="2"/>
        <item x="1"/>
        <item x="5"/>
        <item x="13"/>
        <item x="7"/>
        <item x="0"/>
        <item x="12"/>
        <item x="4"/>
        <item t="default"/>
      </items>
    </pivotField>
    <pivotField showAll="0"/>
    <pivotField showAll="0"/>
    <pivotField numFmtId="164" showAll="0"/>
    <pivotField numFmtId="164" showAll="0"/>
    <pivotField dataField="1" numFmtId="164" showAll="0"/>
    <pivotField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Toplam Income (TL)" fld="7" baseField="0" baseItem="0" numFmtId="164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Brand" xr10:uid="{68DFE057-FE43-4D25-8C63-2CDD2028DFC5}" sourceName="Brand">
  <pivotTables>
    <pivotTable tabId="2" name="PivotTable7"/>
    <pivotTable tabId="2" name="PivotTable1"/>
    <pivotTable tabId="2" name="PivotTable2"/>
    <pivotTable tabId="2" name="PivotTable3"/>
    <pivotTable tabId="2" name="PivotTable4"/>
  </pivotTables>
  <data>
    <tabular pivotCacheId="970344604">
      <items count="5">
        <i x="4" s="1"/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d" xr10:uid="{A210E413-5FDC-4BCB-B4D8-E4D0A72C0902}" cache="Dilimleyici_Brand" caption="Brand" columnCount="3" showCaption="0" style="SlicerStyleDark5" rowHeight="216000"/>
</slicers>
</file>

<file path=xl/theme/theme1.xml><?xml version="1.0" encoding="utf-8"?>
<a:theme xmlns:a="http://schemas.openxmlformats.org/drawingml/2006/main" name="Office Teması">
  <a:themeElements>
    <a:clrScheme name="Özel 6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157E9F"/>
      </a:accent2>
      <a:accent3>
        <a:srgbClr val="883E8E"/>
      </a:accent3>
      <a:accent4>
        <a:srgbClr val="B8A9EC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18F6-8B50-4FC3-98E1-395251FA952B}">
  <dimension ref="A1:L53"/>
  <sheetViews>
    <sheetView topLeftCell="A21" workbookViewId="0">
      <selection activeCell="K41" sqref="K41:L43"/>
    </sheetView>
  </sheetViews>
  <sheetFormatPr defaultRowHeight="15" x14ac:dyDescent="0.25"/>
  <cols>
    <col min="1" max="1" width="13.28515625" bestFit="1" customWidth="1"/>
    <col min="2" max="2" width="16.85546875" bestFit="1" customWidth="1"/>
    <col min="3" max="3" width="18.5703125" bestFit="1" customWidth="1"/>
    <col min="5" max="5" width="11" bestFit="1" customWidth="1"/>
    <col min="6" max="6" width="15.140625" bestFit="1" customWidth="1"/>
    <col min="7" max="7" width="10.5703125" bestFit="1" customWidth="1"/>
    <col min="8" max="8" width="13.140625" bestFit="1" customWidth="1"/>
    <col min="9" max="9" width="11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69</v>
      </c>
      <c r="E2">
        <v>101</v>
      </c>
      <c r="F2" s="3">
        <v>2491</v>
      </c>
      <c r="G2" s="3">
        <v>2103</v>
      </c>
      <c r="H2" s="3">
        <v>171879</v>
      </c>
      <c r="I2" s="3">
        <v>26772</v>
      </c>
    </row>
    <row r="3" spans="1:9" x14ac:dyDescent="0.25">
      <c r="A3" t="s">
        <v>9</v>
      </c>
      <c r="B3" t="s">
        <v>12</v>
      </c>
      <c r="C3" t="s">
        <v>13</v>
      </c>
      <c r="D3">
        <v>148</v>
      </c>
      <c r="E3">
        <v>115</v>
      </c>
      <c r="F3" s="3">
        <v>1735</v>
      </c>
      <c r="G3" s="3">
        <v>1245</v>
      </c>
      <c r="H3" s="3">
        <v>256780</v>
      </c>
      <c r="I3" s="3">
        <v>72520</v>
      </c>
    </row>
    <row r="4" spans="1:9" x14ac:dyDescent="0.25">
      <c r="A4" t="s">
        <v>9</v>
      </c>
      <c r="B4" t="s">
        <v>14</v>
      </c>
      <c r="C4" t="s">
        <v>15</v>
      </c>
      <c r="D4">
        <v>136</v>
      </c>
      <c r="E4">
        <v>100</v>
      </c>
      <c r="F4" s="3">
        <v>1976</v>
      </c>
      <c r="G4" s="3">
        <v>1419</v>
      </c>
      <c r="H4" s="3">
        <v>268736</v>
      </c>
      <c r="I4" s="3">
        <v>75752</v>
      </c>
    </row>
    <row r="5" spans="1:9" x14ac:dyDescent="0.25">
      <c r="A5" t="s">
        <v>9</v>
      </c>
      <c r="B5" t="s">
        <v>10</v>
      </c>
      <c r="C5" t="s">
        <v>11</v>
      </c>
      <c r="D5">
        <v>102</v>
      </c>
      <c r="E5">
        <v>96</v>
      </c>
      <c r="F5" s="3">
        <v>2054</v>
      </c>
      <c r="G5" s="3">
        <v>1593</v>
      </c>
      <c r="H5" s="3">
        <v>209508</v>
      </c>
      <c r="I5" s="3">
        <v>47022</v>
      </c>
    </row>
    <row r="6" spans="1:9" x14ac:dyDescent="0.25">
      <c r="A6" t="s">
        <v>9</v>
      </c>
      <c r="B6" t="s">
        <v>12</v>
      </c>
      <c r="C6" t="s">
        <v>16</v>
      </c>
      <c r="D6">
        <v>114</v>
      </c>
      <c r="E6">
        <v>108</v>
      </c>
      <c r="F6" s="3">
        <v>2129</v>
      </c>
      <c r="G6" s="3">
        <v>1201</v>
      </c>
      <c r="H6" s="3">
        <v>242706</v>
      </c>
      <c r="I6" s="3">
        <v>105792</v>
      </c>
    </row>
    <row r="7" spans="1:9" x14ac:dyDescent="0.25">
      <c r="A7" t="s">
        <v>9</v>
      </c>
      <c r="B7" t="s">
        <v>17</v>
      </c>
      <c r="C7" t="s">
        <v>18</v>
      </c>
      <c r="D7">
        <v>135</v>
      </c>
      <c r="E7">
        <v>117</v>
      </c>
      <c r="F7" s="3">
        <v>2375</v>
      </c>
      <c r="G7" s="3">
        <v>1286</v>
      </c>
      <c r="H7" s="3">
        <v>320625</v>
      </c>
      <c r="I7" s="3">
        <v>147015</v>
      </c>
    </row>
    <row r="8" spans="1:9" x14ac:dyDescent="0.25">
      <c r="A8" t="s">
        <v>9</v>
      </c>
      <c r="B8" t="s">
        <v>12</v>
      </c>
      <c r="C8" t="s">
        <v>19</v>
      </c>
      <c r="D8">
        <v>72</v>
      </c>
      <c r="E8">
        <v>128</v>
      </c>
      <c r="F8" s="3">
        <v>1531</v>
      </c>
      <c r="G8" s="3">
        <v>1095</v>
      </c>
      <c r="H8" s="3">
        <v>110232</v>
      </c>
      <c r="I8" s="3">
        <v>31392</v>
      </c>
    </row>
    <row r="9" spans="1:9" x14ac:dyDescent="0.25">
      <c r="A9" t="s">
        <v>9</v>
      </c>
      <c r="B9" t="s">
        <v>12</v>
      </c>
      <c r="C9" t="s">
        <v>16</v>
      </c>
      <c r="D9">
        <v>111</v>
      </c>
      <c r="E9">
        <v>114</v>
      </c>
      <c r="F9" s="3">
        <v>2300</v>
      </c>
      <c r="G9" s="3">
        <v>1411</v>
      </c>
      <c r="H9" s="3">
        <v>255300</v>
      </c>
      <c r="I9" s="3">
        <v>98679</v>
      </c>
    </row>
    <row r="10" spans="1:9" x14ac:dyDescent="0.25">
      <c r="A10" t="s">
        <v>9</v>
      </c>
      <c r="B10" t="s">
        <v>12</v>
      </c>
      <c r="C10" t="s">
        <v>13</v>
      </c>
      <c r="D10">
        <v>140</v>
      </c>
      <c r="E10">
        <v>95</v>
      </c>
      <c r="F10" s="3">
        <v>2029</v>
      </c>
      <c r="G10" s="3">
        <v>1805</v>
      </c>
      <c r="H10" s="3">
        <v>284060</v>
      </c>
      <c r="I10" s="3">
        <v>31360</v>
      </c>
    </row>
    <row r="11" spans="1:9" x14ac:dyDescent="0.25">
      <c r="A11" t="s">
        <v>9</v>
      </c>
      <c r="B11" t="s">
        <v>17</v>
      </c>
      <c r="C11" t="s">
        <v>18</v>
      </c>
      <c r="D11">
        <v>82</v>
      </c>
      <c r="E11">
        <v>117</v>
      </c>
      <c r="F11" s="3">
        <v>2459</v>
      </c>
      <c r="G11" s="3">
        <v>2222</v>
      </c>
      <c r="H11" s="3">
        <v>201638</v>
      </c>
      <c r="I11" s="3">
        <v>19434</v>
      </c>
    </row>
    <row r="12" spans="1:9" x14ac:dyDescent="0.25">
      <c r="A12" t="s">
        <v>9</v>
      </c>
      <c r="B12" t="s">
        <v>20</v>
      </c>
      <c r="C12" t="s">
        <v>21</v>
      </c>
      <c r="D12">
        <v>118</v>
      </c>
      <c r="E12">
        <v>89</v>
      </c>
      <c r="F12" s="3">
        <v>1769</v>
      </c>
      <c r="G12" s="3">
        <v>1071</v>
      </c>
      <c r="H12" s="3">
        <v>208742</v>
      </c>
      <c r="I12" s="3">
        <v>82364</v>
      </c>
    </row>
    <row r="13" spans="1:9" x14ac:dyDescent="0.25">
      <c r="A13" t="s">
        <v>9</v>
      </c>
      <c r="B13" t="s">
        <v>20</v>
      </c>
      <c r="C13" t="s">
        <v>21</v>
      </c>
      <c r="D13">
        <v>78</v>
      </c>
      <c r="E13">
        <v>111</v>
      </c>
      <c r="F13" s="3">
        <v>2262</v>
      </c>
      <c r="G13" s="3">
        <v>1909</v>
      </c>
      <c r="H13" s="3">
        <v>176436</v>
      </c>
      <c r="I13" s="3">
        <v>27534</v>
      </c>
    </row>
    <row r="14" spans="1:9" x14ac:dyDescent="0.25">
      <c r="A14" t="s">
        <v>9</v>
      </c>
      <c r="B14" t="s">
        <v>17</v>
      </c>
      <c r="C14" t="s">
        <v>22</v>
      </c>
      <c r="D14">
        <v>88</v>
      </c>
      <c r="E14">
        <v>126</v>
      </c>
      <c r="F14" s="3">
        <v>2180</v>
      </c>
      <c r="G14" s="3">
        <v>1204</v>
      </c>
      <c r="H14" s="3">
        <v>191840</v>
      </c>
      <c r="I14" s="3">
        <v>85888</v>
      </c>
    </row>
    <row r="15" spans="1:9" x14ac:dyDescent="0.25">
      <c r="A15" t="s">
        <v>9</v>
      </c>
      <c r="B15" t="s">
        <v>12</v>
      </c>
      <c r="C15" t="s">
        <v>16</v>
      </c>
      <c r="D15">
        <v>150</v>
      </c>
      <c r="E15">
        <v>127</v>
      </c>
      <c r="F15" s="3">
        <v>1521</v>
      </c>
      <c r="G15" s="3">
        <v>1418</v>
      </c>
      <c r="H15" s="3">
        <v>228150</v>
      </c>
      <c r="I15" s="3">
        <v>15450</v>
      </c>
    </row>
    <row r="16" spans="1:9" x14ac:dyDescent="0.25">
      <c r="A16" t="s">
        <v>9</v>
      </c>
      <c r="B16" t="s">
        <v>10</v>
      </c>
      <c r="C16" t="s">
        <v>23</v>
      </c>
      <c r="D16">
        <v>96</v>
      </c>
      <c r="E16">
        <v>117</v>
      </c>
      <c r="F16" s="3">
        <v>2156</v>
      </c>
      <c r="G16" s="3">
        <v>1151</v>
      </c>
      <c r="H16" s="3">
        <v>206976</v>
      </c>
      <c r="I16" s="3">
        <v>96480</v>
      </c>
    </row>
    <row r="17" spans="1:9" x14ac:dyDescent="0.25">
      <c r="A17" t="s">
        <v>9</v>
      </c>
      <c r="B17" t="s">
        <v>10</v>
      </c>
      <c r="C17" t="s">
        <v>24</v>
      </c>
      <c r="D17">
        <v>99</v>
      </c>
      <c r="E17">
        <v>87</v>
      </c>
      <c r="F17" s="3">
        <v>1763</v>
      </c>
      <c r="G17" s="3">
        <v>1116</v>
      </c>
      <c r="H17" s="3">
        <v>174537</v>
      </c>
      <c r="I17" s="3">
        <v>64053</v>
      </c>
    </row>
    <row r="18" spans="1:9" x14ac:dyDescent="0.25">
      <c r="A18" t="s">
        <v>9</v>
      </c>
      <c r="B18" t="s">
        <v>17</v>
      </c>
      <c r="C18" t="s">
        <v>18</v>
      </c>
      <c r="D18">
        <v>71</v>
      </c>
      <c r="E18">
        <v>81</v>
      </c>
      <c r="F18" s="3">
        <v>2206</v>
      </c>
      <c r="G18" s="3">
        <v>1081</v>
      </c>
      <c r="H18" s="3">
        <v>156626</v>
      </c>
      <c r="I18" s="3">
        <v>79875</v>
      </c>
    </row>
    <row r="19" spans="1:9" x14ac:dyDescent="0.25">
      <c r="A19" t="s">
        <v>25</v>
      </c>
      <c r="B19" t="s">
        <v>20</v>
      </c>
      <c r="C19" t="s">
        <v>26</v>
      </c>
      <c r="D19">
        <v>131</v>
      </c>
      <c r="E19">
        <v>94</v>
      </c>
      <c r="F19" s="3">
        <v>2266</v>
      </c>
      <c r="G19" s="3">
        <v>1082</v>
      </c>
      <c r="H19" s="3">
        <v>296846</v>
      </c>
      <c r="I19" s="3">
        <v>155104</v>
      </c>
    </row>
    <row r="20" spans="1:9" x14ac:dyDescent="0.25">
      <c r="A20" t="s">
        <v>25</v>
      </c>
      <c r="B20" t="s">
        <v>14</v>
      </c>
      <c r="C20" t="s">
        <v>15</v>
      </c>
      <c r="D20">
        <v>51</v>
      </c>
      <c r="E20">
        <v>113</v>
      </c>
      <c r="F20" s="3">
        <v>2153</v>
      </c>
      <c r="G20" s="3">
        <v>1484</v>
      </c>
      <c r="H20" s="3">
        <v>109803</v>
      </c>
      <c r="I20" s="3">
        <v>34119</v>
      </c>
    </row>
    <row r="21" spans="1:9" x14ac:dyDescent="0.25">
      <c r="A21" t="s">
        <v>25</v>
      </c>
      <c r="B21" t="s">
        <v>17</v>
      </c>
      <c r="C21" t="s">
        <v>22</v>
      </c>
      <c r="D21">
        <v>62</v>
      </c>
      <c r="E21">
        <v>113</v>
      </c>
      <c r="F21" s="3">
        <v>1925</v>
      </c>
      <c r="G21" s="3">
        <v>1170</v>
      </c>
      <c r="H21" s="3">
        <v>119350</v>
      </c>
      <c r="I21" s="3">
        <v>46810</v>
      </c>
    </row>
    <row r="22" spans="1:9" x14ac:dyDescent="0.25">
      <c r="A22" t="s">
        <v>25</v>
      </c>
      <c r="B22" t="s">
        <v>10</v>
      </c>
      <c r="C22" t="s">
        <v>23</v>
      </c>
      <c r="D22">
        <v>69</v>
      </c>
      <c r="E22">
        <v>87</v>
      </c>
      <c r="F22" s="3">
        <v>2224</v>
      </c>
      <c r="G22" s="3">
        <v>1514</v>
      </c>
      <c r="H22" s="3">
        <v>153456</v>
      </c>
      <c r="I22" s="3">
        <v>48990</v>
      </c>
    </row>
    <row r="23" spans="1:9" x14ac:dyDescent="0.25">
      <c r="A23" t="s">
        <v>25</v>
      </c>
      <c r="B23" t="s">
        <v>20</v>
      </c>
      <c r="C23" t="s">
        <v>26</v>
      </c>
      <c r="D23">
        <v>53</v>
      </c>
      <c r="E23">
        <v>111</v>
      </c>
      <c r="F23" s="3">
        <v>1978</v>
      </c>
      <c r="G23" s="3">
        <v>1419</v>
      </c>
      <c r="H23" s="3">
        <v>104834</v>
      </c>
      <c r="I23" s="3">
        <v>29627</v>
      </c>
    </row>
    <row r="24" spans="1:9" x14ac:dyDescent="0.25">
      <c r="A24" t="s">
        <v>25</v>
      </c>
      <c r="B24" t="s">
        <v>17</v>
      </c>
      <c r="C24" t="s">
        <v>22</v>
      </c>
      <c r="D24">
        <v>55</v>
      </c>
      <c r="E24">
        <v>129</v>
      </c>
      <c r="F24" s="3">
        <v>2400</v>
      </c>
      <c r="G24" s="3">
        <v>1672</v>
      </c>
      <c r="H24" s="3">
        <v>132000</v>
      </c>
      <c r="I24" s="3">
        <v>40040</v>
      </c>
    </row>
    <row r="25" spans="1:9" x14ac:dyDescent="0.25">
      <c r="A25" t="s">
        <v>25</v>
      </c>
      <c r="B25" t="s">
        <v>20</v>
      </c>
      <c r="C25" t="s">
        <v>27</v>
      </c>
      <c r="D25">
        <v>135</v>
      </c>
      <c r="E25">
        <v>113</v>
      </c>
      <c r="F25" s="3">
        <v>1755</v>
      </c>
      <c r="G25" s="3">
        <v>1276</v>
      </c>
      <c r="H25" s="3">
        <v>236925</v>
      </c>
      <c r="I25" s="3">
        <v>64665</v>
      </c>
    </row>
    <row r="26" spans="1:9" x14ac:dyDescent="0.25">
      <c r="A26" t="s">
        <v>25</v>
      </c>
      <c r="B26" t="s">
        <v>10</v>
      </c>
      <c r="C26" t="s">
        <v>23</v>
      </c>
      <c r="D26">
        <v>86</v>
      </c>
      <c r="E26">
        <v>93</v>
      </c>
      <c r="F26" s="3">
        <v>1942</v>
      </c>
      <c r="G26" s="3">
        <v>1787</v>
      </c>
      <c r="H26" s="3">
        <v>167012</v>
      </c>
      <c r="I26" s="3">
        <v>13330</v>
      </c>
    </row>
    <row r="27" spans="1:9" x14ac:dyDescent="0.25">
      <c r="A27" t="s">
        <v>25</v>
      </c>
      <c r="B27" t="s">
        <v>17</v>
      </c>
      <c r="C27" t="s">
        <v>22</v>
      </c>
      <c r="D27">
        <v>62</v>
      </c>
      <c r="E27">
        <v>87</v>
      </c>
      <c r="F27" s="3">
        <v>2485</v>
      </c>
      <c r="G27" s="3">
        <v>1747</v>
      </c>
      <c r="H27" s="3">
        <v>154070</v>
      </c>
      <c r="I27" s="3">
        <v>45756</v>
      </c>
    </row>
    <row r="28" spans="1:9" x14ac:dyDescent="0.25">
      <c r="A28" t="s">
        <v>25</v>
      </c>
      <c r="B28" t="s">
        <v>20</v>
      </c>
      <c r="C28" t="s">
        <v>26</v>
      </c>
      <c r="D28">
        <v>138</v>
      </c>
      <c r="E28">
        <v>111</v>
      </c>
      <c r="F28" s="3">
        <v>1808</v>
      </c>
      <c r="G28" s="3">
        <v>1702</v>
      </c>
      <c r="H28" s="3">
        <v>249504</v>
      </c>
      <c r="I28" s="3">
        <v>14628</v>
      </c>
    </row>
    <row r="29" spans="1:9" x14ac:dyDescent="0.25">
      <c r="A29" t="s">
        <v>25</v>
      </c>
      <c r="B29" t="s">
        <v>10</v>
      </c>
      <c r="C29" t="s">
        <v>24</v>
      </c>
      <c r="D29">
        <v>122</v>
      </c>
      <c r="E29">
        <v>117</v>
      </c>
      <c r="F29" s="3">
        <v>2320</v>
      </c>
      <c r="G29" s="3">
        <v>2055</v>
      </c>
      <c r="H29" s="3">
        <v>283040</v>
      </c>
      <c r="I29" s="3">
        <v>32330</v>
      </c>
    </row>
    <row r="30" spans="1:9" x14ac:dyDescent="0.25">
      <c r="A30" t="s">
        <v>25</v>
      </c>
      <c r="B30" t="s">
        <v>20</v>
      </c>
      <c r="C30" t="s">
        <v>21</v>
      </c>
      <c r="D30">
        <v>134</v>
      </c>
      <c r="E30">
        <v>97</v>
      </c>
      <c r="F30" s="3">
        <v>1913</v>
      </c>
      <c r="G30" s="3">
        <v>1435</v>
      </c>
      <c r="H30" s="3">
        <v>256342</v>
      </c>
      <c r="I30" s="3">
        <v>64052</v>
      </c>
    </row>
    <row r="31" spans="1:9" x14ac:dyDescent="0.25">
      <c r="A31" t="s">
        <v>25</v>
      </c>
      <c r="B31" t="s">
        <v>10</v>
      </c>
      <c r="C31" t="s">
        <v>23</v>
      </c>
      <c r="D31">
        <v>137</v>
      </c>
      <c r="E31">
        <v>108</v>
      </c>
      <c r="F31" s="3">
        <v>2078</v>
      </c>
      <c r="G31" s="3">
        <v>1725</v>
      </c>
      <c r="H31" s="3">
        <v>284686</v>
      </c>
      <c r="I31" s="3">
        <v>48361</v>
      </c>
    </row>
    <row r="32" spans="1:9" x14ac:dyDescent="0.25">
      <c r="A32" t="s">
        <v>28</v>
      </c>
      <c r="B32" t="s">
        <v>10</v>
      </c>
      <c r="C32" t="s">
        <v>11</v>
      </c>
      <c r="D32">
        <v>88</v>
      </c>
      <c r="E32">
        <v>98</v>
      </c>
      <c r="F32" s="3">
        <v>2143</v>
      </c>
      <c r="G32" s="3">
        <v>1653</v>
      </c>
      <c r="H32" s="3">
        <v>188584</v>
      </c>
      <c r="I32" s="3">
        <v>43120</v>
      </c>
    </row>
    <row r="33" spans="1:12" x14ac:dyDescent="0.25">
      <c r="A33" t="s">
        <v>28</v>
      </c>
      <c r="B33" t="s">
        <v>17</v>
      </c>
      <c r="C33" t="s">
        <v>22</v>
      </c>
      <c r="D33">
        <v>143</v>
      </c>
      <c r="E33">
        <v>104</v>
      </c>
      <c r="F33" s="3">
        <v>2490</v>
      </c>
      <c r="G33" s="3">
        <v>2035</v>
      </c>
      <c r="H33" s="3">
        <v>356070</v>
      </c>
      <c r="I33" s="3">
        <v>65065</v>
      </c>
    </row>
    <row r="34" spans="1:12" x14ac:dyDescent="0.25">
      <c r="A34" t="s">
        <v>28</v>
      </c>
      <c r="B34" t="s">
        <v>14</v>
      </c>
      <c r="C34" t="s">
        <v>29</v>
      </c>
      <c r="D34">
        <v>119</v>
      </c>
      <c r="E34">
        <v>124</v>
      </c>
      <c r="F34" s="3">
        <v>2319</v>
      </c>
      <c r="G34" s="3">
        <v>1133</v>
      </c>
      <c r="H34" s="3">
        <v>275961</v>
      </c>
      <c r="I34" s="3">
        <v>141134</v>
      </c>
    </row>
    <row r="35" spans="1:12" x14ac:dyDescent="0.25">
      <c r="A35" t="s">
        <v>28</v>
      </c>
      <c r="B35" t="s">
        <v>12</v>
      </c>
      <c r="C35" t="s">
        <v>19</v>
      </c>
      <c r="D35">
        <v>77</v>
      </c>
      <c r="E35">
        <v>82</v>
      </c>
      <c r="F35" s="3">
        <v>2482</v>
      </c>
      <c r="G35" s="3">
        <v>1974</v>
      </c>
      <c r="H35" s="3">
        <v>191114</v>
      </c>
      <c r="I35" s="3">
        <v>39116</v>
      </c>
    </row>
    <row r="36" spans="1:12" x14ac:dyDescent="0.25">
      <c r="A36" t="s">
        <v>28</v>
      </c>
      <c r="B36" t="s">
        <v>10</v>
      </c>
      <c r="C36" t="s">
        <v>11</v>
      </c>
      <c r="D36">
        <v>56</v>
      </c>
      <c r="E36">
        <v>112</v>
      </c>
      <c r="F36" s="3">
        <v>2152</v>
      </c>
      <c r="G36" s="3">
        <v>1305</v>
      </c>
      <c r="H36" s="3">
        <v>120512</v>
      </c>
      <c r="I36" s="3">
        <v>47432</v>
      </c>
    </row>
    <row r="37" spans="1:12" x14ac:dyDescent="0.25">
      <c r="A37" t="s">
        <v>28</v>
      </c>
      <c r="B37" t="s">
        <v>10</v>
      </c>
      <c r="C37" t="s">
        <v>24</v>
      </c>
      <c r="D37">
        <v>96</v>
      </c>
      <c r="E37">
        <v>113</v>
      </c>
      <c r="F37" s="3">
        <v>1820</v>
      </c>
      <c r="G37" s="3">
        <v>1086</v>
      </c>
      <c r="H37" s="3">
        <v>174720</v>
      </c>
      <c r="I37" s="3">
        <v>70464</v>
      </c>
    </row>
    <row r="38" spans="1:12" x14ac:dyDescent="0.25">
      <c r="A38" t="s">
        <v>28</v>
      </c>
      <c r="B38" t="s">
        <v>12</v>
      </c>
      <c r="C38" t="s">
        <v>13</v>
      </c>
      <c r="D38">
        <v>150</v>
      </c>
      <c r="E38">
        <v>104</v>
      </c>
      <c r="F38" s="3">
        <v>2053</v>
      </c>
      <c r="G38" s="3">
        <v>1119</v>
      </c>
      <c r="H38" s="3">
        <v>307950</v>
      </c>
      <c r="I38" s="3">
        <v>140100</v>
      </c>
    </row>
    <row r="39" spans="1:12" x14ac:dyDescent="0.25">
      <c r="A39" t="s">
        <v>28</v>
      </c>
      <c r="B39" t="s">
        <v>14</v>
      </c>
      <c r="C39" t="s">
        <v>30</v>
      </c>
      <c r="D39">
        <v>108</v>
      </c>
      <c r="E39">
        <v>120</v>
      </c>
      <c r="F39" s="3">
        <v>1653</v>
      </c>
      <c r="G39" s="3">
        <v>1278</v>
      </c>
      <c r="H39" s="3">
        <v>178524</v>
      </c>
      <c r="I39" s="3">
        <v>40500</v>
      </c>
    </row>
    <row r="40" spans="1:12" x14ac:dyDescent="0.25">
      <c r="A40" t="s">
        <v>28</v>
      </c>
      <c r="B40" t="s">
        <v>14</v>
      </c>
      <c r="C40" t="s">
        <v>29</v>
      </c>
      <c r="D40">
        <v>67</v>
      </c>
      <c r="E40">
        <v>82</v>
      </c>
      <c r="F40" s="3">
        <v>1919</v>
      </c>
      <c r="G40" s="3">
        <v>1427</v>
      </c>
      <c r="H40" s="3">
        <v>128573</v>
      </c>
      <c r="I40" s="3">
        <v>32964</v>
      </c>
    </row>
    <row r="41" spans="1:12" x14ac:dyDescent="0.25">
      <c r="A41" t="s">
        <v>28</v>
      </c>
      <c r="B41" t="s">
        <v>12</v>
      </c>
      <c r="C41" t="s">
        <v>16</v>
      </c>
      <c r="D41">
        <v>138</v>
      </c>
      <c r="E41">
        <v>120</v>
      </c>
      <c r="F41" s="3">
        <v>1900</v>
      </c>
      <c r="G41" s="3">
        <v>1759</v>
      </c>
      <c r="H41" s="3">
        <v>262200</v>
      </c>
      <c r="I41" s="3">
        <v>19458</v>
      </c>
      <c r="K41" s="6" t="s">
        <v>9</v>
      </c>
    </row>
    <row r="42" spans="1:12" x14ac:dyDescent="0.25">
      <c r="A42" t="s">
        <v>28</v>
      </c>
      <c r="B42" t="s">
        <v>17</v>
      </c>
      <c r="C42" t="s">
        <v>18</v>
      </c>
      <c r="D42">
        <v>83</v>
      </c>
      <c r="E42">
        <v>125</v>
      </c>
      <c r="F42" s="3">
        <v>2391</v>
      </c>
      <c r="G42" s="3">
        <v>1781</v>
      </c>
      <c r="H42" s="3">
        <v>198453</v>
      </c>
      <c r="I42" s="3">
        <v>50630</v>
      </c>
      <c r="K42" s="6" t="s">
        <v>25</v>
      </c>
      <c r="L42">
        <v>-456</v>
      </c>
    </row>
    <row r="43" spans="1:12" x14ac:dyDescent="0.25">
      <c r="A43" t="s">
        <v>28</v>
      </c>
      <c r="B43" t="s">
        <v>10</v>
      </c>
      <c r="C43" t="s">
        <v>23</v>
      </c>
      <c r="D43">
        <v>76</v>
      </c>
      <c r="E43">
        <v>83</v>
      </c>
      <c r="F43" s="3">
        <v>1572</v>
      </c>
      <c r="G43" s="3">
        <v>1229</v>
      </c>
      <c r="H43" s="3">
        <v>119472</v>
      </c>
      <c r="I43" s="3">
        <v>26068</v>
      </c>
      <c r="K43" s="6" t="s">
        <v>28</v>
      </c>
      <c r="L43">
        <v>769</v>
      </c>
    </row>
    <row r="44" spans="1:12" x14ac:dyDescent="0.25">
      <c r="A44" t="s">
        <v>28</v>
      </c>
      <c r="B44" t="s">
        <v>12</v>
      </c>
      <c r="C44" t="s">
        <v>16</v>
      </c>
      <c r="D44">
        <v>51</v>
      </c>
      <c r="E44">
        <v>127</v>
      </c>
      <c r="F44" s="3">
        <v>2425</v>
      </c>
      <c r="G44" s="3">
        <v>1768</v>
      </c>
      <c r="H44" s="3">
        <v>123675</v>
      </c>
      <c r="I44" s="3">
        <v>33507</v>
      </c>
    </row>
    <row r="45" spans="1:12" x14ac:dyDescent="0.25">
      <c r="A45" t="s">
        <v>28</v>
      </c>
      <c r="B45" t="s">
        <v>14</v>
      </c>
      <c r="C45" t="s">
        <v>15</v>
      </c>
      <c r="D45">
        <v>115</v>
      </c>
      <c r="E45">
        <v>127</v>
      </c>
      <c r="F45" s="3">
        <v>2419</v>
      </c>
      <c r="G45" s="3">
        <v>1479</v>
      </c>
      <c r="H45" s="3">
        <v>278185</v>
      </c>
      <c r="I45" s="3">
        <v>108100</v>
      </c>
    </row>
    <row r="46" spans="1:12" x14ac:dyDescent="0.25">
      <c r="A46" t="s">
        <v>28</v>
      </c>
      <c r="B46" t="s">
        <v>14</v>
      </c>
      <c r="C46" t="s">
        <v>30</v>
      </c>
      <c r="D46">
        <v>51</v>
      </c>
      <c r="E46">
        <v>89</v>
      </c>
      <c r="F46" s="3">
        <v>2421</v>
      </c>
      <c r="G46" s="3">
        <v>1351</v>
      </c>
      <c r="H46" s="3">
        <v>123471</v>
      </c>
      <c r="I46" s="3">
        <v>54570</v>
      </c>
    </row>
    <row r="47" spans="1:12" x14ac:dyDescent="0.25">
      <c r="A47" t="s">
        <v>28</v>
      </c>
      <c r="B47" t="s">
        <v>20</v>
      </c>
      <c r="C47" t="s">
        <v>21</v>
      </c>
      <c r="D47">
        <v>111</v>
      </c>
      <c r="E47">
        <v>116</v>
      </c>
      <c r="F47" s="3">
        <v>2371</v>
      </c>
      <c r="G47" s="3">
        <v>2009</v>
      </c>
      <c r="H47" s="3">
        <v>263181</v>
      </c>
      <c r="I47" s="3">
        <v>40182</v>
      </c>
    </row>
    <row r="48" spans="1:12" x14ac:dyDescent="0.25">
      <c r="A48" t="s">
        <v>28</v>
      </c>
      <c r="B48" t="s">
        <v>20</v>
      </c>
      <c r="C48" t="s">
        <v>27</v>
      </c>
      <c r="D48">
        <v>67</v>
      </c>
      <c r="E48">
        <v>110</v>
      </c>
      <c r="F48" s="3">
        <v>1546</v>
      </c>
      <c r="G48" s="3">
        <v>1422</v>
      </c>
      <c r="H48" s="3">
        <v>103582</v>
      </c>
      <c r="I48" s="3">
        <v>8308</v>
      </c>
    </row>
    <row r="49" spans="1:9" x14ac:dyDescent="0.25">
      <c r="A49" t="s">
        <v>28</v>
      </c>
      <c r="B49" t="s">
        <v>10</v>
      </c>
      <c r="C49" t="s">
        <v>11</v>
      </c>
      <c r="D49">
        <v>78</v>
      </c>
      <c r="E49">
        <v>125</v>
      </c>
      <c r="F49" s="3">
        <v>1593</v>
      </c>
      <c r="G49" s="3">
        <v>1243</v>
      </c>
      <c r="H49" s="3">
        <v>124254</v>
      </c>
      <c r="I49" s="3">
        <v>27300</v>
      </c>
    </row>
    <row r="50" spans="1:9" x14ac:dyDescent="0.25">
      <c r="A50" t="s">
        <v>28</v>
      </c>
      <c r="B50" t="s">
        <v>20</v>
      </c>
      <c r="C50" t="s">
        <v>26</v>
      </c>
      <c r="D50">
        <v>83</v>
      </c>
      <c r="E50">
        <v>84</v>
      </c>
      <c r="F50" s="3">
        <v>1561</v>
      </c>
      <c r="G50" s="3">
        <v>1024</v>
      </c>
      <c r="H50" s="3">
        <v>129563</v>
      </c>
      <c r="I50" s="3">
        <v>44571</v>
      </c>
    </row>
    <row r="51" spans="1:9" x14ac:dyDescent="0.25">
      <c r="A51" t="s">
        <v>28</v>
      </c>
      <c r="B51" t="s">
        <v>20</v>
      </c>
      <c r="C51" t="s">
        <v>27</v>
      </c>
      <c r="D51">
        <v>65</v>
      </c>
      <c r="E51">
        <v>97</v>
      </c>
      <c r="F51" s="3">
        <v>2470</v>
      </c>
      <c r="G51" s="3">
        <v>1376</v>
      </c>
      <c r="H51" s="3">
        <v>160550</v>
      </c>
      <c r="I51" s="3">
        <v>71110</v>
      </c>
    </row>
    <row r="53" spans="1:9" x14ac:dyDescent="0.25">
      <c r="A53" s="3">
        <f>SUMIF(A2:A51,A27,H2:H51)</f>
        <v>2547868</v>
      </c>
      <c r="B53" s="3">
        <f>SUMIF(A2:A51,A20,G2:G51)</f>
        <v>20068</v>
      </c>
      <c r="C53" s="8">
        <f>A53-B53</f>
        <v>2527800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54B3-CB7F-46F8-A08B-6A4AF349B4B5}">
  <dimension ref="A1:G51"/>
  <sheetViews>
    <sheetView workbookViewId="0">
      <selection activeCell="E49" sqref="E49"/>
    </sheetView>
  </sheetViews>
  <sheetFormatPr defaultRowHeight="15" x14ac:dyDescent="0.25"/>
  <cols>
    <col min="1" max="1" width="18.85546875" bestFit="1" customWidth="1"/>
    <col min="2" max="2" width="17.42578125" bestFit="1" customWidth="1"/>
    <col min="3" max="4" width="10.5703125" bestFit="1" customWidth="1"/>
    <col min="5" max="5" width="13.5703125" bestFit="1" customWidth="1"/>
    <col min="6" max="6" width="17.85546875" bestFit="1" customWidth="1"/>
    <col min="7" max="7" width="13.5703125" bestFit="1" customWidth="1"/>
    <col min="8" max="8" width="7.42578125" bestFit="1" customWidth="1"/>
    <col min="9" max="9" width="7" bestFit="1" customWidth="1"/>
    <col min="10" max="10" width="8.140625" bestFit="1" customWidth="1"/>
    <col min="11" max="11" width="17.85546875" bestFit="1" customWidth="1"/>
    <col min="12" max="12" width="11.42578125" bestFit="1" customWidth="1"/>
    <col min="13" max="13" width="9" bestFit="1" customWidth="1"/>
    <col min="14" max="15" width="7" bestFit="1" customWidth="1"/>
    <col min="16" max="16" width="8.140625" bestFit="1" customWidth="1"/>
    <col min="17" max="17" width="17.85546875" bestFit="1" customWidth="1"/>
    <col min="18" max="18" width="14.28515625" bestFit="1" customWidth="1"/>
    <col min="19" max="19" width="13.5703125" bestFit="1" customWidth="1"/>
  </cols>
  <sheetData>
    <row r="1" spans="1:5" x14ac:dyDescent="0.25">
      <c r="A1" s="5" t="s">
        <v>31</v>
      </c>
      <c r="B1" t="s">
        <v>33</v>
      </c>
    </row>
    <row r="2" spans="1:5" x14ac:dyDescent="0.25">
      <c r="A2" s="6" t="s">
        <v>9</v>
      </c>
      <c r="B2" s="7"/>
    </row>
    <row r="3" spans="1:5" x14ac:dyDescent="0.25">
      <c r="A3" s="6" t="s">
        <v>25</v>
      </c>
      <c r="B3" s="7">
        <v>-0.31730237700386954</v>
      </c>
      <c r="D3" t="s">
        <v>38</v>
      </c>
    </row>
    <row r="4" spans="1:5" x14ac:dyDescent="0.25">
      <c r="A4" s="6" t="s">
        <v>28</v>
      </c>
      <c r="B4" s="7">
        <v>0.47530364372469636</v>
      </c>
    </row>
    <row r="5" spans="1:5" x14ac:dyDescent="0.25">
      <c r="A5" s="6" t="s">
        <v>32</v>
      </c>
      <c r="B5" s="7"/>
    </row>
    <row r="7" spans="1:5" x14ac:dyDescent="0.25">
      <c r="A7" s="5" t="s">
        <v>31</v>
      </c>
      <c r="B7" t="s">
        <v>34</v>
      </c>
    </row>
    <row r="8" spans="1:5" x14ac:dyDescent="0.25">
      <c r="A8" s="6" t="s">
        <v>9</v>
      </c>
      <c r="D8" t="s">
        <v>38</v>
      </c>
    </row>
    <row r="9" spans="1:5" x14ac:dyDescent="0.25">
      <c r="A9" s="6" t="s">
        <v>25</v>
      </c>
      <c r="B9">
        <v>-456</v>
      </c>
    </row>
    <row r="10" spans="1:5" x14ac:dyDescent="0.25">
      <c r="A10" s="6" t="s">
        <v>28</v>
      </c>
      <c r="B10">
        <v>769</v>
      </c>
    </row>
    <row r="11" spans="1:5" x14ac:dyDescent="0.25">
      <c r="A11" s="6" t="s">
        <v>32</v>
      </c>
    </row>
    <row r="13" spans="1:5" x14ac:dyDescent="0.25">
      <c r="A13" s="5" t="s">
        <v>35</v>
      </c>
      <c r="B13" s="5" t="s">
        <v>36</v>
      </c>
    </row>
    <row r="14" spans="1:5" x14ac:dyDescent="0.25">
      <c r="A14" s="5" t="s">
        <v>31</v>
      </c>
      <c r="B14" t="s">
        <v>9</v>
      </c>
      <c r="C14" t="s">
        <v>25</v>
      </c>
      <c r="D14" t="s">
        <v>28</v>
      </c>
      <c r="E14" t="s">
        <v>32</v>
      </c>
    </row>
    <row r="15" spans="1:5" x14ac:dyDescent="0.25">
      <c r="A15" s="6" t="s">
        <v>20</v>
      </c>
      <c r="B15" s="8">
        <v>4031</v>
      </c>
      <c r="C15" s="8">
        <v>9720</v>
      </c>
      <c r="D15" s="8">
        <v>7948</v>
      </c>
      <c r="E15" s="8">
        <v>21699</v>
      </c>
    </row>
    <row r="16" spans="1:5" x14ac:dyDescent="0.25">
      <c r="A16" s="9" t="s">
        <v>21</v>
      </c>
      <c r="B16" s="8">
        <v>4031</v>
      </c>
      <c r="C16" s="8">
        <v>1913</v>
      </c>
      <c r="D16" s="8">
        <v>2371</v>
      </c>
      <c r="E16" s="8">
        <v>8315</v>
      </c>
    </row>
    <row r="17" spans="1:5" x14ac:dyDescent="0.25">
      <c r="A17" s="9" t="s">
        <v>26</v>
      </c>
      <c r="B17" s="8"/>
      <c r="C17" s="8">
        <v>6052</v>
      </c>
      <c r="D17" s="8">
        <v>1561</v>
      </c>
      <c r="E17" s="8">
        <v>7613</v>
      </c>
    </row>
    <row r="18" spans="1:5" x14ac:dyDescent="0.25">
      <c r="A18" s="9" t="s">
        <v>27</v>
      </c>
      <c r="B18" s="8"/>
      <c r="C18" s="8">
        <v>1755</v>
      </c>
      <c r="D18" s="8">
        <v>4016</v>
      </c>
      <c r="E18" s="8">
        <v>5771</v>
      </c>
    </row>
    <row r="19" spans="1:5" x14ac:dyDescent="0.25">
      <c r="A19" s="6" t="s">
        <v>14</v>
      </c>
      <c r="B19" s="8">
        <v>1976</v>
      </c>
      <c r="C19" s="8">
        <v>2153</v>
      </c>
      <c r="D19" s="8">
        <v>10731</v>
      </c>
      <c r="E19" s="8">
        <v>14860</v>
      </c>
    </row>
    <row r="20" spans="1:5" x14ac:dyDescent="0.25">
      <c r="A20" s="9" t="s">
        <v>15</v>
      </c>
      <c r="B20" s="8">
        <v>1976</v>
      </c>
      <c r="C20" s="8">
        <v>2153</v>
      </c>
      <c r="D20" s="8">
        <v>2419</v>
      </c>
      <c r="E20" s="8">
        <v>6548</v>
      </c>
    </row>
    <row r="21" spans="1:5" x14ac:dyDescent="0.25">
      <c r="A21" s="9" t="s">
        <v>30</v>
      </c>
      <c r="B21" s="8"/>
      <c r="C21" s="8"/>
      <c r="D21" s="8">
        <v>4074</v>
      </c>
      <c r="E21" s="8">
        <v>4074</v>
      </c>
    </row>
    <row r="22" spans="1:5" x14ac:dyDescent="0.25">
      <c r="A22" s="9" t="s">
        <v>29</v>
      </c>
      <c r="B22" s="8"/>
      <c r="C22" s="8"/>
      <c r="D22" s="8">
        <v>4238</v>
      </c>
      <c r="E22" s="8">
        <v>4238</v>
      </c>
    </row>
    <row r="23" spans="1:5" x14ac:dyDescent="0.25">
      <c r="A23" s="6" t="s">
        <v>12</v>
      </c>
      <c r="B23" s="8">
        <v>11245</v>
      </c>
      <c r="C23" s="8"/>
      <c r="D23" s="8">
        <v>8860</v>
      </c>
      <c r="E23" s="8">
        <v>20105</v>
      </c>
    </row>
    <row r="24" spans="1:5" x14ac:dyDescent="0.25">
      <c r="A24" s="9" t="s">
        <v>16</v>
      </c>
      <c r="B24" s="8">
        <v>5950</v>
      </c>
      <c r="C24" s="8"/>
      <c r="D24" s="8">
        <v>4325</v>
      </c>
      <c r="E24" s="8">
        <v>10275</v>
      </c>
    </row>
    <row r="25" spans="1:5" x14ac:dyDescent="0.25">
      <c r="A25" s="9" t="s">
        <v>13</v>
      </c>
      <c r="B25" s="8">
        <v>3764</v>
      </c>
      <c r="C25" s="8"/>
      <c r="D25" s="8">
        <v>2053</v>
      </c>
      <c r="E25" s="8">
        <v>5817</v>
      </c>
    </row>
    <row r="26" spans="1:5" x14ac:dyDescent="0.25">
      <c r="A26" s="9" t="s">
        <v>19</v>
      </c>
      <c r="B26" s="8">
        <v>1531</v>
      </c>
      <c r="C26" s="8"/>
      <c r="D26" s="8">
        <v>2482</v>
      </c>
      <c r="E26" s="8">
        <v>4013</v>
      </c>
    </row>
    <row r="27" spans="1:5" x14ac:dyDescent="0.25">
      <c r="A27" s="6" t="s">
        <v>10</v>
      </c>
      <c r="B27" s="8">
        <v>8464</v>
      </c>
      <c r="C27" s="8">
        <v>8564</v>
      </c>
      <c r="D27" s="8">
        <v>9280</v>
      </c>
      <c r="E27" s="8">
        <v>26308</v>
      </c>
    </row>
    <row r="28" spans="1:5" x14ac:dyDescent="0.25">
      <c r="A28" s="9" t="s">
        <v>24</v>
      </c>
      <c r="B28" s="8">
        <v>1763</v>
      </c>
      <c r="C28" s="8">
        <v>2320</v>
      </c>
      <c r="D28" s="8">
        <v>1820</v>
      </c>
      <c r="E28" s="8">
        <v>5903</v>
      </c>
    </row>
    <row r="29" spans="1:5" x14ac:dyDescent="0.25">
      <c r="A29" s="9" t="s">
        <v>23</v>
      </c>
      <c r="B29" s="8">
        <v>2156</v>
      </c>
      <c r="C29" s="8">
        <v>6244</v>
      </c>
      <c r="D29" s="8">
        <v>1572</v>
      </c>
      <c r="E29" s="8">
        <v>9972</v>
      </c>
    </row>
    <row r="30" spans="1:5" x14ac:dyDescent="0.25">
      <c r="A30" s="9" t="s">
        <v>11</v>
      </c>
      <c r="B30" s="8">
        <v>4545</v>
      </c>
      <c r="C30" s="8"/>
      <c r="D30" s="8">
        <v>5888</v>
      </c>
      <c r="E30" s="8">
        <v>10433</v>
      </c>
    </row>
    <row r="31" spans="1:5" x14ac:dyDescent="0.25">
      <c r="A31" s="6" t="s">
        <v>17</v>
      </c>
      <c r="B31" s="8">
        <v>9220</v>
      </c>
      <c r="C31" s="8">
        <v>6810</v>
      </c>
      <c r="D31" s="8">
        <v>4881</v>
      </c>
      <c r="E31" s="8">
        <v>20911</v>
      </c>
    </row>
    <row r="32" spans="1:5" x14ac:dyDescent="0.25">
      <c r="A32" s="9" t="s">
        <v>22</v>
      </c>
      <c r="B32" s="8">
        <v>2180</v>
      </c>
      <c r="C32" s="8">
        <v>6810</v>
      </c>
      <c r="D32" s="8">
        <v>2490</v>
      </c>
      <c r="E32" s="8">
        <v>11480</v>
      </c>
    </row>
    <row r="33" spans="1:7" x14ac:dyDescent="0.25">
      <c r="A33" s="9" t="s">
        <v>18</v>
      </c>
      <c r="B33" s="8">
        <v>7040</v>
      </c>
      <c r="C33" s="8"/>
      <c r="D33" s="8">
        <v>2391</v>
      </c>
      <c r="E33" s="8">
        <v>9431</v>
      </c>
    </row>
    <row r="34" spans="1:7" x14ac:dyDescent="0.25">
      <c r="A34" s="6" t="s">
        <v>32</v>
      </c>
      <c r="B34" s="8">
        <v>34936</v>
      </c>
      <c r="C34" s="8">
        <v>27247</v>
      </c>
      <c r="D34" s="8">
        <v>41700</v>
      </c>
      <c r="E34" s="8">
        <v>103883</v>
      </c>
    </row>
    <row r="37" spans="1:7" x14ac:dyDescent="0.25">
      <c r="A37" s="5" t="s">
        <v>37</v>
      </c>
      <c r="B37" s="5" t="s">
        <v>36</v>
      </c>
    </row>
    <row r="38" spans="1:7" x14ac:dyDescent="0.25">
      <c r="A38" s="5" t="s">
        <v>31</v>
      </c>
      <c r="B38" t="s">
        <v>9</v>
      </c>
      <c r="C38" t="s">
        <v>25</v>
      </c>
      <c r="D38" t="s">
        <v>28</v>
      </c>
      <c r="E38" t="s">
        <v>32</v>
      </c>
    </row>
    <row r="39" spans="1:7" x14ac:dyDescent="0.25">
      <c r="A39" s="6" t="s">
        <v>20</v>
      </c>
      <c r="B39" s="8">
        <v>385178</v>
      </c>
      <c r="C39" s="8">
        <v>1144451</v>
      </c>
      <c r="D39" s="8">
        <v>656876</v>
      </c>
      <c r="E39" s="8">
        <v>2186505</v>
      </c>
    </row>
    <row r="40" spans="1:7" x14ac:dyDescent="0.25">
      <c r="A40" s="6" t="s">
        <v>14</v>
      </c>
      <c r="B40" s="8">
        <v>268736</v>
      </c>
      <c r="C40" s="8">
        <v>109803</v>
      </c>
      <c r="D40" s="8">
        <v>984714</v>
      </c>
      <c r="E40" s="8">
        <v>1363253</v>
      </c>
    </row>
    <row r="41" spans="1:7" x14ac:dyDescent="0.25">
      <c r="A41" s="6" t="s">
        <v>12</v>
      </c>
      <c r="B41" s="8">
        <v>1377228</v>
      </c>
      <c r="C41" s="8"/>
      <c r="D41" s="8">
        <v>884939</v>
      </c>
      <c r="E41" s="8">
        <v>2262167</v>
      </c>
    </row>
    <row r="42" spans="1:7" x14ac:dyDescent="0.25">
      <c r="A42" s="6" t="s">
        <v>10</v>
      </c>
      <c r="B42" s="8">
        <v>762900</v>
      </c>
      <c r="C42" s="8">
        <v>888194</v>
      </c>
      <c r="D42" s="8">
        <v>727542</v>
      </c>
      <c r="E42" s="8">
        <v>2378636</v>
      </c>
    </row>
    <row r="43" spans="1:7" x14ac:dyDescent="0.25">
      <c r="A43" s="6" t="s">
        <v>17</v>
      </c>
      <c r="B43" s="8">
        <v>870729</v>
      </c>
      <c r="C43" s="8">
        <v>405420</v>
      </c>
      <c r="D43" s="8">
        <v>554523</v>
      </c>
      <c r="E43" s="8">
        <v>1830672</v>
      </c>
    </row>
    <row r="44" spans="1:7" x14ac:dyDescent="0.25">
      <c r="A44" s="6" t="s">
        <v>32</v>
      </c>
      <c r="B44" s="8">
        <v>3664771</v>
      </c>
      <c r="C44" s="8">
        <v>2547868</v>
      </c>
      <c r="D44" s="8">
        <v>3808594</v>
      </c>
      <c r="E44" s="8">
        <v>10021233</v>
      </c>
    </row>
    <row r="46" spans="1:7" x14ac:dyDescent="0.25">
      <c r="A46" s="5" t="s">
        <v>39</v>
      </c>
      <c r="B46" s="5" t="s">
        <v>36</v>
      </c>
    </row>
    <row r="47" spans="1:7" x14ac:dyDescent="0.25">
      <c r="A47" s="5" t="s">
        <v>31</v>
      </c>
      <c r="B47" t="s">
        <v>20</v>
      </c>
      <c r="C47" t="s">
        <v>14</v>
      </c>
      <c r="D47" t="s">
        <v>12</v>
      </c>
      <c r="E47" t="s">
        <v>10</v>
      </c>
      <c r="F47" t="s">
        <v>17</v>
      </c>
      <c r="G47" t="s">
        <v>32</v>
      </c>
    </row>
    <row r="48" spans="1:7" x14ac:dyDescent="0.25">
      <c r="A48" s="6" t="s">
        <v>9</v>
      </c>
      <c r="B48" s="8">
        <v>2980</v>
      </c>
      <c r="C48" s="8">
        <v>1419</v>
      </c>
      <c r="D48" s="8">
        <v>8175</v>
      </c>
      <c r="E48" s="8">
        <v>5963</v>
      </c>
      <c r="F48" s="8">
        <v>5793</v>
      </c>
      <c r="G48" s="8">
        <v>24330</v>
      </c>
    </row>
    <row r="49" spans="1:7" x14ac:dyDescent="0.25">
      <c r="A49" s="6" t="s">
        <v>25</v>
      </c>
      <c r="B49" s="8">
        <v>6914</v>
      </c>
      <c r="C49" s="8">
        <v>1484</v>
      </c>
      <c r="D49" s="8"/>
      <c r="E49" s="8">
        <v>7081</v>
      </c>
      <c r="F49" s="8">
        <v>4589</v>
      </c>
      <c r="G49" s="8">
        <v>20068</v>
      </c>
    </row>
    <row r="50" spans="1:7" x14ac:dyDescent="0.25">
      <c r="A50" s="6" t="s">
        <v>28</v>
      </c>
      <c r="B50" s="8">
        <v>5831</v>
      </c>
      <c r="C50" s="8">
        <v>6668</v>
      </c>
      <c r="D50" s="8">
        <v>6620</v>
      </c>
      <c r="E50" s="8">
        <v>6516</v>
      </c>
      <c r="F50" s="8">
        <v>3816</v>
      </c>
      <c r="G50" s="8">
        <v>29451</v>
      </c>
    </row>
    <row r="51" spans="1:7" x14ac:dyDescent="0.25">
      <c r="A51" s="6" t="s">
        <v>32</v>
      </c>
      <c r="B51" s="8">
        <v>15725</v>
      </c>
      <c r="C51" s="8">
        <v>9571</v>
      </c>
      <c r="D51" s="8">
        <v>14795</v>
      </c>
      <c r="E51" s="8">
        <v>19560</v>
      </c>
      <c r="F51" s="8">
        <v>14198</v>
      </c>
      <c r="G51" s="8">
        <v>73849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1641-C89A-4742-BAC8-5463A57D9AFC}">
  <dimension ref="A1"/>
  <sheetViews>
    <sheetView showGridLines="0" tabSelected="1" workbookViewId="0">
      <selection activeCell="AF2" sqref="AF2"/>
    </sheetView>
  </sheetViews>
  <sheetFormatPr defaultRowHeight="15" x14ac:dyDescent="0.25"/>
  <cols>
    <col min="1" max="16384" width="9.140625" style="4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Table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DENIZ KAN</dc:creator>
  <cp:lastModifiedBy>JASMIN DENIZ KAN</cp:lastModifiedBy>
  <dcterms:created xsi:type="dcterms:W3CDTF">2026-02-15T14:07:42Z</dcterms:created>
  <dcterms:modified xsi:type="dcterms:W3CDTF">2026-02-15T17:03:24Z</dcterms:modified>
</cp:coreProperties>
</file>