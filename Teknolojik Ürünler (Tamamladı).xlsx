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sper\Documents\Github Dashboard\"/>
    </mc:Choice>
  </mc:AlternateContent>
  <xr:revisionPtr revIDLastSave="0" documentId="13_ncr:1_{8506B535-2E46-497C-9849-1B463439FAF5}" xr6:coauthVersionLast="47" xr6:coauthVersionMax="47" xr10:uidLastSave="{00000000-0000-0000-0000-000000000000}"/>
  <bookViews>
    <workbookView xWindow="-120" yWindow="-120" windowWidth="20730" windowHeight="11160" activeTab="2" xr2:uid="{EFF3EE90-D985-4A5B-8F60-8BE0BF18E9C0}"/>
  </bookViews>
  <sheets>
    <sheet name="Teknoloji Ürünleri" sheetId="2" r:id="rId1"/>
    <sheet name="pivot" sheetId="1" r:id="rId2"/>
    <sheet name="Dashboard" sheetId="3" r:id="rId3"/>
  </sheets>
  <definedNames>
    <definedName name="DışVeri_1" localSheetId="0" hidden="1">'Teknoloji Ürünleri'!$A$1:$F$20</definedName>
    <definedName name="Dilimleyici_Ay">#N/A</definedName>
  </definedNames>
  <calcPr calcId="191029"/>
  <pivotCaches>
    <pivotCache cacheId="18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H22" i="2"/>
  <c r="G22" i="2"/>
  <c r="H20" i="2"/>
  <c r="I2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7F906-A8C3-4E83-A57E-70C8B8899C47}" keepAlive="1" name="Sorgu - Teknoloji Ürünleri" description="Çalışma kitabındaki 'Teknoloji Ürünleri' sorgusuna yönelik bağlantı." type="5" refreshedVersion="8" background="1" saveData="1">
    <dbPr connection="Provider=Microsoft.Mashup.OleDb.1;Data Source=$Workbook$;Location=&quot;Teknoloji Ürünleri&quot;;Extended Properties=&quot;&quot;" command="SELECT * FROM [Teknoloji Ürünleri]"/>
  </connection>
</connections>
</file>

<file path=xl/sharedStrings.xml><?xml version="1.0" encoding="utf-8"?>
<sst xmlns="http://schemas.openxmlformats.org/spreadsheetml/2006/main" count="144" uniqueCount="32">
  <si>
    <t>Ay</t>
  </si>
  <si>
    <t>Ürün Kategorisi</t>
  </si>
  <si>
    <t>Model</t>
  </si>
  <si>
    <t>Satış Adedi</t>
  </si>
  <si>
    <t>Birim Satış Fiyatı (TL)</t>
  </si>
  <si>
    <t>Birim Maliyet (TL)</t>
  </si>
  <si>
    <t>Ocak</t>
  </si>
  <si>
    <t>Akıllı Telefon</t>
  </si>
  <si>
    <t>X-Phone 15</t>
  </si>
  <si>
    <t>Laptop</t>
  </si>
  <si>
    <t>Pro-Book Air</t>
  </si>
  <si>
    <t>Kablosuz Kulaklık</t>
  </si>
  <si>
    <t>Sound-Go</t>
  </si>
  <si>
    <t>Şubat</t>
  </si>
  <si>
    <t>Mart</t>
  </si>
  <si>
    <t>Nisan</t>
  </si>
  <si>
    <t>Mayıs</t>
  </si>
  <si>
    <t>Haziran</t>
  </si>
  <si>
    <t>Toplam Gelir (TL)</t>
  </si>
  <si>
    <t>Toplam Maliyet (TL)</t>
  </si>
  <si>
    <t>Toplam Kar (TL)</t>
  </si>
  <si>
    <t>Kar Marjı</t>
  </si>
  <si>
    <t>Satır Etiketleri</t>
  </si>
  <si>
    <t>Genel Toplam</t>
  </si>
  <si>
    <t>Toplam Toplam Gelir (TL)</t>
  </si>
  <si>
    <t>Toplam Toplam Maliyet (TL)</t>
  </si>
  <si>
    <t>Toplam Toplam Kar (TL)</t>
  </si>
  <si>
    <t>Toplam Birim Satış Fiyatı (TL)</t>
  </si>
  <si>
    <t>Toplam Birim Maliyet (TL)</t>
  </si>
  <si>
    <t>Sütun Etiketleri</t>
  </si>
  <si>
    <t>Toplam Kar Marjı</t>
  </si>
  <si>
    <t>Toplam Satış Adedi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</si>
</sst>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70" formatCode="_-* #,##0_-;\-* #,##0_-;_-* &quot;-&quot;??_-;_-@_-"/>
    <numFmt numFmtId="171" formatCode="0.0000000"/>
  </numFmts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4B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2" fontId="0" fillId="0" borderId="0" xfId="0" applyNumberFormat="1"/>
    <xf numFmtId="17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0" fontId="0" fillId="2" borderId="0" xfId="0" applyFill="1"/>
    <xf numFmtId="171" fontId="0" fillId="0" borderId="0" xfId="0" applyNumberFormat="1"/>
  </cellXfs>
  <cellStyles count="2">
    <cellStyle name="Normal" xfId="0" builtinId="0"/>
    <cellStyle name="Virgül" xfId="1" builtinId="3"/>
  </cellStyles>
  <dxfs count="5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1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1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1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1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1" formatCode="0.0000000"/>
    </dxf>
    <dxf>
      <numFmt numFmtId="171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0" formatCode="_-* #,##0_-;\-* #,##0_-;_-* &quot;-&quot;??_-;_-@_-"/>
    </dxf>
    <dxf>
      <numFmt numFmtId="0" formatCode="General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170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Dilimleyici Stili 1" pivot="0" table="0" count="0" xr9:uid="{09A769F6-0DB3-45E5-B1AC-030C282BE699}"/>
  </tableStyles>
  <colors>
    <mruColors>
      <color rgb="FF90E4B8"/>
      <color rgb="FF76D486"/>
    </mruColors>
  </colors>
  <extLst>
    <ext xmlns:x14="http://schemas.microsoft.com/office/spreadsheetml/2009/9/main" uri="{EB79DEF2-80B8-43e5-95BD-54CBDDF9020C}">
      <x14:slicerStyles defaultSlicerStyle="SlicerStyleLight1">
        <x14:slicerStyle name="Dilimleyici Stili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[Teknolojik Ürünler (Tamamlanmadı).xlsx]pivot!PivotTable1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100"/>
              <a:t>Ürünlerin Aylara Göre Toplam Gelir</a:t>
            </a:r>
            <a:r>
              <a:rPr lang="tr-TR" sz="1100" baseline="0"/>
              <a:t> Maliyet ve Karları</a:t>
            </a:r>
            <a:endParaRPr lang="tr-T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50352829983844"/>
          <c:y val="0.13842650103519669"/>
          <c:w val="0.36381503406964638"/>
          <c:h val="0.69731500953685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Toplam Toplam Gelir (TL)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pivot!$A$2:$A$8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pivot!$B$2:$B$8</c:f>
              <c:numCache>
                <c:formatCode>_-* #,##0_-;\-* #,##0_-;_-* "-"??_-;_-@_-</c:formatCode>
                <c:ptCount val="6"/>
                <c:pt idx="0">
                  <c:v>9060000</c:v>
                </c:pt>
                <c:pt idx="1">
                  <c:v>9625000</c:v>
                </c:pt>
                <c:pt idx="2">
                  <c:v>9805000</c:v>
                </c:pt>
                <c:pt idx="3">
                  <c:v>8360000</c:v>
                </c:pt>
                <c:pt idx="4">
                  <c:v>13484000</c:v>
                </c:pt>
                <c:pt idx="5">
                  <c:v>12030000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D-433B-8108-4FC3836B675A}"/>
            </c:ext>
          </c:extLst>
        </c:ser>
        <c:ser>
          <c:idx val="1"/>
          <c:order val="1"/>
          <c:tx>
            <c:strRef>
              <c:f>pivot!$C$1</c:f>
              <c:strCache>
                <c:ptCount val="1"/>
                <c:pt idx="0">
                  <c:v>Toplam Toplam Maliyet (TL)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pivot!$A$2:$A$8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pivot!$C$2:$C$8</c:f>
              <c:numCache>
                <c:formatCode>_-* #,##0_-;\-* #,##0_-;_-* "-"??_-;_-@_-</c:formatCode>
                <c:ptCount val="6"/>
                <c:pt idx="0">
                  <c:v>6558000</c:v>
                </c:pt>
                <c:pt idx="1">
                  <c:v>6940000</c:v>
                </c:pt>
                <c:pt idx="2">
                  <c:v>7270000</c:v>
                </c:pt>
                <c:pt idx="3">
                  <c:v>5850000</c:v>
                </c:pt>
                <c:pt idx="4">
                  <c:v>9800000</c:v>
                </c:pt>
                <c:pt idx="5">
                  <c:v>8380000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D-433B-8108-4FC3836B6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370288"/>
        <c:axId val="812385168"/>
      </c:barChart>
      <c:lineChart>
        <c:grouping val="standard"/>
        <c:varyColors val="0"/>
        <c:ser>
          <c:idx val="2"/>
          <c:order val="2"/>
          <c:tx>
            <c:strRef>
              <c:f>pivot!$D$1</c:f>
              <c:strCache>
                <c:ptCount val="1"/>
                <c:pt idx="0">
                  <c:v>Toplam Toplam Kar (TL)</c:v>
                </c:pt>
              </c:strCache>
            </c:strRef>
          </c:tx>
          <c:spPr>
            <a:ln w="285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pivot!$A$2:$A$8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pivot!$D$2:$D$8</c:f>
              <c:numCache>
                <c:formatCode>_-* #,##0_-;\-* #,##0_-;_-* "-"??_-;_-@_-</c:formatCode>
                <c:ptCount val="6"/>
                <c:pt idx="0">
                  <c:v>2502000</c:v>
                </c:pt>
                <c:pt idx="1">
                  <c:v>2685000</c:v>
                </c:pt>
                <c:pt idx="2">
                  <c:v>2535000</c:v>
                </c:pt>
                <c:pt idx="3">
                  <c:v>2510000</c:v>
                </c:pt>
                <c:pt idx="4">
                  <c:v>3684000</c:v>
                </c:pt>
                <c:pt idx="5">
                  <c:v>3650000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D-433B-8108-4FC3836B6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383248"/>
        <c:axId val="812356848"/>
      </c:lineChart>
      <c:catAx>
        <c:axId val="8123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85168"/>
        <c:crosses val="autoZero"/>
        <c:auto val="1"/>
        <c:lblAlgn val="ctr"/>
        <c:lblOffset val="100"/>
        <c:noMultiLvlLbl val="0"/>
      </c:catAx>
      <c:valAx>
        <c:axId val="81238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70288"/>
        <c:crosses val="autoZero"/>
        <c:crossBetween val="between"/>
      </c:valAx>
      <c:valAx>
        <c:axId val="81235684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83248"/>
        <c:crosses val="max"/>
        <c:crossBetween val="between"/>
      </c:valAx>
      <c:catAx>
        <c:axId val="81238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2356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51714338627384"/>
          <c:y val="0.1918824277400108"/>
          <c:w val="0.24001813641907901"/>
          <c:h val="0.52691804828744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[Teknolojik Ürünler (Tamamlanmadı).xlsx]pivot!PivotTable2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Aylara Göre Ürünlerin Birim Fiyat</a:t>
            </a:r>
          </a:p>
        </c:rich>
      </c:tx>
      <c:layout>
        <c:manualLayout>
          <c:xMode val="edge"/>
          <c:yMode val="edge"/>
          <c:x val="2.705555555555554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02328800444162"/>
          <c:y val="0.29615384615384616"/>
          <c:w val="0.67296606277835169"/>
          <c:h val="0.522037149202503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pivot!$B$10:$B$11</c:f>
              <c:strCache>
                <c:ptCount val="1"/>
                <c:pt idx="0">
                  <c:v>Pro-Book Air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pivot!$A$12:$A$18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pivot!$B$12:$B$18</c:f>
              <c:numCache>
                <c:formatCode>_-* #,##0_-;\-* #,##0_-;_-* "-"??_-;_-@_-</c:formatCode>
                <c:ptCount val="6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68000</c:v>
                </c:pt>
                <c:pt idx="4">
                  <c:v>68000</c:v>
                </c:pt>
                <c:pt idx="5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F0-435E-8040-15955E9DD8EA}"/>
            </c:ext>
          </c:extLst>
        </c:ser>
        <c:ser>
          <c:idx val="1"/>
          <c:order val="1"/>
          <c:tx>
            <c:strRef>
              <c:f>pivot!$C$10:$C$11</c:f>
              <c:strCache>
                <c:ptCount val="1"/>
                <c:pt idx="0">
                  <c:v>Sound-Go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pivot!$A$12:$A$18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pivot!$C$12:$C$18</c:f>
              <c:numCache>
                <c:formatCode>_-* #,##0_-;\-* #,##0_-;_-* "-"??_-;_-@_-</c:formatCode>
                <c:ptCount val="6"/>
                <c:pt idx="0">
                  <c:v>3500</c:v>
                </c:pt>
                <c:pt idx="1">
                  <c:v>3500</c:v>
                </c:pt>
                <c:pt idx="2">
                  <c:v>3800</c:v>
                </c:pt>
                <c:pt idx="3">
                  <c:v>3200</c:v>
                </c:pt>
                <c:pt idx="4">
                  <c:v>3800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F0-435E-8040-15955E9DD8EA}"/>
            </c:ext>
          </c:extLst>
        </c:ser>
        <c:ser>
          <c:idx val="2"/>
          <c:order val="2"/>
          <c:tx>
            <c:strRef>
              <c:f>pivot!$D$10:$D$11</c:f>
              <c:strCache>
                <c:ptCount val="1"/>
                <c:pt idx="0">
                  <c:v>X-Phone 15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pivot!$A$12:$A$18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pivot!$D$12:$D$18</c:f>
              <c:numCache>
                <c:formatCode>_-* #,##0_-;\-* #,##0_-;_-* "-"??_-;_-@_-</c:formatCode>
                <c:ptCount val="6"/>
                <c:pt idx="0">
                  <c:v>45000</c:v>
                </c:pt>
                <c:pt idx="1">
                  <c:v>45000</c:v>
                </c:pt>
                <c:pt idx="2">
                  <c:v>48000</c:v>
                </c:pt>
                <c:pt idx="3">
                  <c:v>52000</c:v>
                </c:pt>
                <c:pt idx="4">
                  <c:v>50000</c:v>
                </c:pt>
                <c:pt idx="5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F0-435E-8040-15955E9DD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382768"/>
        <c:axId val="812367408"/>
      </c:barChart>
      <c:catAx>
        <c:axId val="81238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67408"/>
        <c:crosses val="autoZero"/>
        <c:auto val="1"/>
        <c:lblAlgn val="ctr"/>
        <c:lblOffset val="100"/>
        <c:noMultiLvlLbl val="0"/>
      </c:catAx>
      <c:valAx>
        <c:axId val="812367408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8276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98935078279323"/>
          <c:y val="0.11121609798775151"/>
          <c:w val="0.15623142277163249"/>
          <c:h val="0.70619960966417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[Teknolojik Ürünler (Tamamlanmadı).xlsx]pivot!PivotTable4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Aylara</a:t>
            </a:r>
            <a:r>
              <a:rPr lang="tr-TR" sz="1200" baseline="0"/>
              <a:t> Göre Ürünlerin Satış Adedi</a:t>
            </a:r>
            <a:endParaRPr lang="tr-TR" sz="1200"/>
          </a:p>
        </c:rich>
      </c:tx>
      <c:layout>
        <c:manualLayout>
          <c:xMode val="edge"/>
          <c:yMode val="edge"/>
          <c:x val="2.705555555555554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38682428847337"/>
          <c:y val="0.2192307692307692"/>
          <c:w val="0.66001457364999183"/>
          <c:h val="0.598960226125580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pivot!$B$37:$B$38</c:f>
              <c:strCache>
                <c:ptCount val="1"/>
                <c:pt idx="0">
                  <c:v>Pro-Book Air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pivot!$A$39:$A$45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pivot!$B$39:$B$45</c:f>
              <c:numCache>
                <c:formatCode>General</c:formatCode>
                <c:ptCount val="6"/>
                <c:pt idx="0">
                  <c:v>45</c:v>
                </c:pt>
                <c:pt idx="1">
                  <c:v>38</c:v>
                </c:pt>
                <c:pt idx="2">
                  <c:v>55</c:v>
                </c:pt>
                <c:pt idx="3">
                  <c:v>40</c:v>
                </c:pt>
                <c:pt idx="4">
                  <c:v>65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B-48FF-BFB6-93EA219C7AFD}"/>
            </c:ext>
          </c:extLst>
        </c:ser>
        <c:ser>
          <c:idx val="1"/>
          <c:order val="1"/>
          <c:tx>
            <c:strRef>
              <c:f>pivot!$C$37:$C$38</c:f>
              <c:strCache>
                <c:ptCount val="1"/>
                <c:pt idx="0">
                  <c:v>Sound-Go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pivot!$A$39:$A$45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pivot!$C$39:$C$45</c:f>
              <c:numCache>
                <c:formatCode>General</c:formatCode>
                <c:ptCount val="6"/>
                <c:pt idx="0">
                  <c:v>210</c:v>
                </c:pt>
                <c:pt idx="1">
                  <c:v>180</c:v>
                </c:pt>
                <c:pt idx="2">
                  <c:v>250</c:v>
                </c:pt>
                <c:pt idx="3">
                  <c:v>300</c:v>
                </c:pt>
                <c:pt idx="4">
                  <c:v>280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B-48FF-BFB6-93EA219C7AFD}"/>
            </c:ext>
          </c:extLst>
        </c:ser>
        <c:ser>
          <c:idx val="2"/>
          <c:order val="2"/>
          <c:tx>
            <c:strRef>
              <c:f>pivot!$D$37:$D$38</c:f>
              <c:strCache>
                <c:ptCount val="1"/>
                <c:pt idx="0">
                  <c:v>X-Phone 15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pivot!$A$39:$A$45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pivot!$D$39:$D$45</c:f>
              <c:numCache>
                <c:formatCode>General</c:formatCode>
                <c:ptCount val="6"/>
                <c:pt idx="0">
                  <c:v>120</c:v>
                </c:pt>
                <c:pt idx="1">
                  <c:v>145</c:v>
                </c:pt>
                <c:pt idx="2">
                  <c:v>110</c:v>
                </c:pt>
                <c:pt idx="3">
                  <c:v>90</c:v>
                </c:pt>
                <c:pt idx="4">
                  <c:v>160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7B-48FF-BFB6-93EA219C7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382768"/>
        <c:axId val="812367408"/>
      </c:barChart>
      <c:catAx>
        <c:axId val="81238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67408"/>
        <c:crosses val="autoZero"/>
        <c:auto val="1"/>
        <c:lblAlgn val="ctr"/>
        <c:lblOffset val="100"/>
        <c:noMultiLvlLbl val="0"/>
      </c:catAx>
      <c:valAx>
        <c:axId val="81236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8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1586334727042"/>
          <c:y val="0.17104515781681134"/>
          <c:w val="0.16572079433467043"/>
          <c:h val="0.64637054983511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[Teknolojik Ürünler (Tamamlanmadı).xlsx]pivot!PivotTable9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Aylara</a:t>
            </a:r>
            <a:r>
              <a:rPr lang="tr-TR" sz="1200" baseline="0"/>
              <a:t> Göre Ürünlerin Birim Maliyeti</a:t>
            </a:r>
            <a:endParaRPr lang="tr-TR" sz="1200"/>
          </a:p>
        </c:rich>
      </c:tx>
      <c:layout>
        <c:manualLayout>
          <c:xMode val="edge"/>
          <c:yMode val="edge"/>
          <c:x val="1.90415573053368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41393263342082"/>
          <c:y val="0.16509598603839443"/>
          <c:w val="0.58491497156605421"/>
          <c:h val="0.62987014057797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pivot!$B$47:$B$48</c:f>
              <c:strCache>
                <c:ptCount val="1"/>
                <c:pt idx="0">
                  <c:v>Pro-Book Air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pivot!$A$49:$A$55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pivot!$B$49:$B$55</c:f>
              <c:numCache>
                <c:formatCode>_-* #,##0_-;\-* #,##0_-;_-* "-"??_-;_-@_-</c:formatCode>
                <c:ptCount val="6"/>
                <c:pt idx="0">
                  <c:v>52000</c:v>
                </c:pt>
                <c:pt idx="1">
                  <c:v>52000</c:v>
                </c:pt>
                <c:pt idx="2">
                  <c:v>54000</c:v>
                </c:pt>
                <c:pt idx="3">
                  <c:v>54000</c:v>
                </c:pt>
                <c:pt idx="4">
                  <c:v>56000</c:v>
                </c:pt>
                <c:pt idx="5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C-474E-B4D3-C656C03B84D0}"/>
            </c:ext>
          </c:extLst>
        </c:ser>
        <c:ser>
          <c:idx val="1"/>
          <c:order val="1"/>
          <c:tx>
            <c:strRef>
              <c:f>pivot!$C$47:$C$48</c:f>
              <c:strCache>
                <c:ptCount val="1"/>
                <c:pt idx="0">
                  <c:v>Sound-Go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pivot!$A$49:$A$55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pivot!$C$49:$C$55</c:f>
              <c:numCache>
                <c:formatCode>_-* #,##0_-;\-* #,##0_-;_-* "-"??_-;_-@_-</c:formatCode>
                <c:ptCount val="6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2000</c:v>
                </c:pt>
                <c:pt idx="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6C-474E-B4D3-C656C03B84D0}"/>
            </c:ext>
          </c:extLst>
        </c:ser>
        <c:ser>
          <c:idx val="2"/>
          <c:order val="2"/>
          <c:tx>
            <c:strRef>
              <c:f>pivot!$D$47:$D$48</c:f>
              <c:strCache>
                <c:ptCount val="1"/>
                <c:pt idx="0">
                  <c:v>X-Phone 15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pivot!$A$49:$A$55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pivot!$D$49:$D$55</c:f>
              <c:numCache>
                <c:formatCode>_-* #,##0_-;\-* #,##0_-;_-* "-"??_-;_-@_-</c:formatCode>
                <c:ptCount val="6"/>
                <c:pt idx="0">
                  <c:v>32000</c:v>
                </c:pt>
                <c:pt idx="1">
                  <c:v>32000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6C-474E-B4D3-C656C03B8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338608"/>
        <c:axId val="812325648"/>
      </c:barChart>
      <c:catAx>
        <c:axId val="8123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25648"/>
        <c:crosses val="autoZero"/>
        <c:auto val="1"/>
        <c:lblAlgn val="ctr"/>
        <c:lblOffset val="100"/>
        <c:noMultiLvlLbl val="0"/>
      </c:catAx>
      <c:valAx>
        <c:axId val="812325648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52334864391947"/>
          <c:y val="0.14057467947396629"/>
          <c:w val="0.20564331802274716"/>
          <c:h val="0.61867612098225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[Teknolojik Ürünler (Tamamlanmadı).xlsx]pivot!PivotTable6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Ürünlerin</a:t>
            </a:r>
            <a:r>
              <a:rPr lang="tr-TR" sz="1200" baseline="0"/>
              <a:t> Toplam Gelirleri ve Maliyetleri</a:t>
            </a:r>
            <a:endParaRPr lang="tr-TR" sz="1200"/>
          </a:p>
        </c:rich>
      </c:tx>
      <c:layout>
        <c:manualLayout>
          <c:xMode val="edge"/>
          <c:yMode val="edge"/>
          <c:x val="2.26111111111111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pivot!$B$109</c:f>
              <c:strCache>
                <c:ptCount val="1"/>
                <c:pt idx="0">
                  <c:v>Toplam Toplam Gelir (TL)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pivot!$A$110:$A$113</c:f>
              <c:strCache>
                <c:ptCount val="3"/>
                <c:pt idx="0">
                  <c:v>Sound-Go</c:v>
                </c:pt>
                <c:pt idx="1">
                  <c:v>Pro-Book Air</c:v>
                </c:pt>
                <c:pt idx="2">
                  <c:v>X-Phone 15</c:v>
                </c:pt>
              </c:strCache>
            </c:strRef>
          </c:cat>
          <c:val>
            <c:numRef>
              <c:f>pivot!$B$110:$B$113</c:f>
              <c:numCache>
                <c:formatCode>_-* #,##0_-;\-* #,##0_-;_-* "-"??_-;_-@_-</c:formatCode>
                <c:ptCount val="3"/>
                <c:pt idx="0">
                  <c:v>5619000</c:v>
                </c:pt>
                <c:pt idx="1">
                  <c:v>19710000</c:v>
                </c:pt>
                <c:pt idx="2">
                  <c:v>37035000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1-414E-9288-D1F54BB33102}"/>
            </c:ext>
          </c:extLst>
        </c:ser>
        <c:ser>
          <c:idx val="1"/>
          <c:order val="1"/>
          <c:tx>
            <c:strRef>
              <c:f>pivot!$C$109</c:f>
              <c:strCache>
                <c:ptCount val="1"/>
                <c:pt idx="0">
                  <c:v>Toplam Toplam Maliyet (TL)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pivot!$A$110:$A$113</c:f>
              <c:strCache>
                <c:ptCount val="3"/>
                <c:pt idx="0">
                  <c:v>Sound-Go</c:v>
                </c:pt>
                <c:pt idx="1">
                  <c:v>Pro-Book Air</c:v>
                </c:pt>
                <c:pt idx="2">
                  <c:v>X-Phone 15</c:v>
                </c:pt>
              </c:strCache>
            </c:strRef>
          </c:cat>
          <c:val>
            <c:numRef>
              <c:f>pivot!$C$110:$C$113</c:f>
              <c:numCache>
                <c:formatCode>_-* #,##0_-;\-* #,##0_-;_-* "-"??_-;_-@_-</c:formatCode>
                <c:ptCount val="3"/>
                <c:pt idx="0">
                  <c:v>2892000</c:v>
                </c:pt>
                <c:pt idx="1">
                  <c:v>15886000</c:v>
                </c:pt>
                <c:pt idx="2">
                  <c:v>26020000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1-414E-9288-D1F54BB331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0207920"/>
        <c:axId val="810202640"/>
      </c:barChart>
      <c:catAx>
        <c:axId val="81020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0202640"/>
        <c:crosses val="autoZero"/>
        <c:auto val="1"/>
        <c:lblAlgn val="ctr"/>
        <c:lblOffset val="100"/>
        <c:noMultiLvlLbl val="0"/>
      </c:catAx>
      <c:valAx>
        <c:axId val="810202640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81020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99513876554906"/>
          <c:y val="0.35100416327269435"/>
          <c:w val="0.17227136081674002"/>
          <c:h val="0.6178188071318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[Teknolojik Ürünler (Tamamlanmadı).xlsx]pivot!PivotTable7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Ürünlerin Satışından Gelen</a:t>
            </a:r>
            <a:r>
              <a:rPr lang="tr-TR" sz="1200" baseline="0"/>
              <a:t> Karları</a:t>
            </a:r>
            <a:endParaRPr lang="en-US" sz="1200"/>
          </a:p>
        </c:rich>
      </c:tx>
      <c:layout>
        <c:manualLayout>
          <c:xMode val="edge"/>
          <c:yMode val="edge"/>
          <c:x val="2.127077865266839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pivot!$B$115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pivot!$A$116:$A$119</c:f>
              <c:strCache>
                <c:ptCount val="3"/>
                <c:pt idx="0">
                  <c:v>X-Phone 15</c:v>
                </c:pt>
                <c:pt idx="1">
                  <c:v>Pro-Book Air</c:v>
                </c:pt>
                <c:pt idx="2">
                  <c:v>Sound-Go</c:v>
                </c:pt>
              </c:strCache>
            </c:strRef>
          </c:cat>
          <c:val>
            <c:numRef>
              <c:f>pivot!$B$116:$B$119</c:f>
              <c:numCache>
                <c:formatCode>_-* #,##0_-;\-* #,##0_-;_-* "-"??_-;_-@_-</c:formatCode>
                <c:ptCount val="3"/>
                <c:pt idx="0">
                  <c:v>11015000</c:v>
                </c:pt>
                <c:pt idx="1">
                  <c:v>3824000</c:v>
                </c:pt>
                <c:pt idx="2">
                  <c:v>2727000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D-4F2A-A02E-41084F4225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3650176"/>
        <c:axId val="813651136"/>
      </c:barChart>
      <c:catAx>
        <c:axId val="8136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3651136"/>
        <c:crosses val="autoZero"/>
        <c:auto val="1"/>
        <c:lblAlgn val="ctr"/>
        <c:lblOffset val="100"/>
        <c:noMultiLvlLbl val="0"/>
      </c:catAx>
      <c:valAx>
        <c:axId val="81365113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81365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[Teknolojik Ürünler (Tamamlanmadı).xlsx]pivot!PivotTable8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/>
              <a:t>Ürünlerin Aylara Göre Kar Marjı</a:t>
            </a:r>
          </a:p>
        </c:rich>
      </c:tx>
      <c:layout>
        <c:manualLayout>
          <c:xMode val="edge"/>
          <c:yMode val="edge"/>
          <c:x val="1.720822397200348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pivot!$B$121:$B$122</c:f>
              <c:strCache>
                <c:ptCount val="1"/>
                <c:pt idx="0">
                  <c:v>Pro-Book Air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pivot!$A$123:$A$129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pivot!$B$123:$B$129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16.923076923076923</c:v>
                </c:pt>
                <c:pt idx="3">
                  <c:v>20.588235294117645</c:v>
                </c:pt>
                <c:pt idx="4">
                  <c:v>17.647058823529413</c:v>
                </c:pt>
                <c:pt idx="5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C-40E8-973F-1691DCE17826}"/>
            </c:ext>
          </c:extLst>
        </c:ser>
        <c:ser>
          <c:idx val="1"/>
          <c:order val="1"/>
          <c:tx>
            <c:strRef>
              <c:f>pivot!$C$121:$C$122</c:f>
              <c:strCache>
                <c:ptCount val="1"/>
                <c:pt idx="0">
                  <c:v>Sound-Go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pivot!$A$123:$A$129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pivot!$C$123:$C$129</c:f>
              <c:numCache>
                <c:formatCode>General</c:formatCode>
                <c:ptCount val="6"/>
                <c:pt idx="0">
                  <c:v>48.571428571428569</c:v>
                </c:pt>
                <c:pt idx="1">
                  <c:v>48.571428571428569</c:v>
                </c:pt>
                <c:pt idx="2">
                  <c:v>52.631578947368418</c:v>
                </c:pt>
                <c:pt idx="3">
                  <c:v>43.75</c:v>
                </c:pt>
                <c:pt idx="4">
                  <c:v>47.368421052631575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C-40E8-973F-1691DCE17826}"/>
            </c:ext>
          </c:extLst>
        </c:ser>
        <c:ser>
          <c:idx val="2"/>
          <c:order val="2"/>
          <c:tx>
            <c:strRef>
              <c:f>pivot!$D$121:$D$122</c:f>
              <c:strCache>
                <c:ptCount val="1"/>
                <c:pt idx="0">
                  <c:v>X-Phone 15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pivot!$A$123:$A$129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pivot!$D$123:$D$129</c:f>
              <c:numCache>
                <c:formatCode>General</c:formatCode>
                <c:ptCount val="6"/>
                <c:pt idx="0">
                  <c:v>28.888888888888886</c:v>
                </c:pt>
                <c:pt idx="1">
                  <c:v>28.888888888888886</c:v>
                </c:pt>
                <c:pt idx="2">
                  <c:v>27.083333333333332</c:v>
                </c:pt>
                <c:pt idx="3">
                  <c:v>32.692307692307693</c:v>
                </c:pt>
                <c:pt idx="4">
                  <c:v>30</c:v>
                </c:pt>
                <c:pt idx="5">
                  <c:v>30.909090909090907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C-40E8-973F-1691DCE17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337168"/>
        <c:axId val="812352528"/>
      </c:barChart>
      <c:catAx>
        <c:axId val="8123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52528"/>
        <c:crosses val="autoZero"/>
        <c:auto val="1"/>
        <c:lblAlgn val="ctr"/>
        <c:lblOffset val="100"/>
        <c:noMultiLvlLbl val="0"/>
      </c:catAx>
      <c:valAx>
        <c:axId val="8123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33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19050</xdr:rowOff>
    </xdr:from>
    <xdr:to>
      <xdr:col>6</xdr:col>
      <xdr:colOff>276225</xdr:colOff>
      <xdr:row>18</xdr:row>
      <xdr:rowOff>38100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60CB1B2-CA03-4EDF-B690-0112FE704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0</xdr:row>
      <xdr:rowOff>57150</xdr:rowOff>
    </xdr:from>
    <xdr:to>
      <xdr:col>12</xdr:col>
      <xdr:colOff>485775</xdr:colOff>
      <xdr:row>1</xdr:row>
      <xdr:rowOff>161925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8DE8AAD7-77AF-2D34-2E8F-80E7E1C4AED5}"/>
            </a:ext>
          </a:extLst>
        </xdr:cNvPr>
        <xdr:cNvSpPr/>
      </xdr:nvSpPr>
      <xdr:spPr>
        <a:xfrm>
          <a:off x="66675" y="57150"/>
          <a:ext cx="7734300" cy="295275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/>
            <a:t>6 AYLIK TEKNOLOJİK ÜRÜN</a:t>
          </a:r>
          <a:r>
            <a:rPr lang="tr-TR" sz="1400" baseline="0"/>
            <a:t> VERİLERİ PANELİ</a:t>
          </a:r>
          <a:endParaRPr lang="tr-TR" sz="1400"/>
        </a:p>
      </xdr:txBody>
    </xdr:sp>
    <xdr:clientData/>
  </xdr:twoCellAnchor>
  <xdr:twoCellAnchor>
    <xdr:from>
      <xdr:col>6</xdr:col>
      <xdr:colOff>323851</xdr:colOff>
      <xdr:row>2</xdr:row>
      <xdr:rowOff>19049</xdr:rowOff>
    </xdr:from>
    <xdr:to>
      <xdr:col>12</xdr:col>
      <xdr:colOff>333375</xdr:colOff>
      <xdr:row>10</xdr:row>
      <xdr:rowOff>28574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47B14BE3-F497-4FF0-ABBE-56EAD5D04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161925</xdr:colOff>
      <xdr:row>10</xdr:row>
      <xdr:rowOff>104775</xdr:rowOff>
    </xdr:from>
    <xdr:to>
      <xdr:col>20</xdr:col>
      <xdr:colOff>295274</xdr:colOff>
      <xdr:row>19</xdr:row>
      <xdr:rowOff>133351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E1CA5A39-7EB9-48C1-8047-1A6EFA1C5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323850</xdr:colOff>
      <xdr:row>10</xdr:row>
      <xdr:rowOff>66674</xdr:rowOff>
    </xdr:from>
    <xdr:to>
      <xdr:col>13</xdr:col>
      <xdr:colOff>114300</xdr:colOff>
      <xdr:row>19</xdr:row>
      <xdr:rowOff>171449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5E683ABB-6397-4249-9E62-B82918B1F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18</xdr:row>
      <xdr:rowOff>85725</xdr:rowOff>
    </xdr:from>
    <xdr:to>
      <xdr:col>6</xdr:col>
      <xdr:colOff>295275</xdr:colOff>
      <xdr:row>30</xdr:row>
      <xdr:rowOff>76200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17BA1CB9-86EB-408B-ADC3-6F517E7F8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323850</xdr:colOff>
      <xdr:row>20</xdr:row>
      <xdr:rowOff>0</xdr:rowOff>
    </xdr:from>
    <xdr:to>
      <xdr:col>13</xdr:col>
      <xdr:colOff>200025</xdr:colOff>
      <xdr:row>30</xdr:row>
      <xdr:rowOff>76200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4D9D6A6F-0608-4BFC-B8A3-648EDB7A2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257175</xdr:colOff>
      <xdr:row>19</xdr:row>
      <xdr:rowOff>180975</xdr:rowOff>
    </xdr:from>
    <xdr:to>
      <xdr:col>20</xdr:col>
      <xdr:colOff>295275</xdr:colOff>
      <xdr:row>30</xdr:row>
      <xdr:rowOff>85724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7CAD657E-2AEC-4C45-97C9-E5A473BF3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95248</xdr:colOff>
      <xdr:row>0</xdr:row>
      <xdr:rowOff>57150</xdr:rowOff>
    </xdr:from>
    <xdr:to>
      <xdr:col>19</xdr:col>
      <xdr:colOff>423975</xdr:colOff>
      <xdr:row>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Ay">
              <a:extLst>
                <a:ext uri="{FF2B5EF4-FFF2-40B4-BE49-F238E27FC236}">
                  <a16:creationId xmlns:a16="http://schemas.microsoft.com/office/drawing/2014/main" id="{E1DC62E6-2031-E09E-BF85-C32DD197E0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0048" y="57150"/>
              <a:ext cx="3986327" cy="35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12</xdr:col>
      <xdr:colOff>552450</xdr:colOff>
      <xdr:row>2</xdr:row>
      <xdr:rowOff>95251</xdr:rowOff>
    </xdr:from>
    <xdr:to>
      <xdr:col>16</xdr:col>
      <xdr:colOff>133350</xdr:colOff>
      <xdr:row>5</xdr:row>
      <xdr:rowOff>180975</xdr:rowOff>
    </xdr:to>
    <xdr:sp macro="" textlink="">
      <xdr:nvSpPr>
        <xdr:cNvPr id="11" name="Dikdörtgen: Köşeleri Yuvarlatılmış 10">
          <a:extLst>
            <a:ext uri="{FF2B5EF4-FFF2-40B4-BE49-F238E27FC236}">
              <a16:creationId xmlns:a16="http://schemas.microsoft.com/office/drawing/2014/main" id="{5F4046DC-72E1-F8B9-6841-51832A416921}"/>
            </a:ext>
          </a:extLst>
        </xdr:cNvPr>
        <xdr:cNvSpPr/>
      </xdr:nvSpPr>
      <xdr:spPr>
        <a:xfrm>
          <a:off x="7867650" y="476251"/>
          <a:ext cx="2019300" cy="65722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r-TR" sz="1600">
              <a:solidFill>
                <a:srgbClr val="00B050"/>
              </a:solidFill>
            </a:rPr>
            <a:t>Toplam</a:t>
          </a:r>
          <a:r>
            <a:rPr lang="tr-TR" sz="1600" baseline="0">
              <a:solidFill>
                <a:srgbClr val="00B050"/>
              </a:solidFill>
            </a:rPr>
            <a:t> Gelir </a:t>
          </a:r>
        </a:p>
        <a:p>
          <a:pPr algn="ctr"/>
          <a:r>
            <a:rPr lang="tr-TR" sz="1600" baseline="0">
              <a:solidFill>
                <a:srgbClr val="00B050"/>
              </a:solidFill>
            </a:rPr>
            <a:t>62.364.000</a:t>
          </a:r>
          <a:endParaRPr lang="tr-TR" sz="16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561975</xdr:colOff>
      <xdr:row>6</xdr:row>
      <xdr:rowOff>95251</xdr:rowOff>
    </xdr:from>
    <xdr:to>
      <xdr:col>16</xdr:col>
      <xdr:colOff>142875</xdr:colOff>
      <xdr:row>9</xdr:row>
      <xdr:rowOff>180975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CCADA45B-7759-4C38-B026-A302738AC488}"/>
            </a:ext>
          </a:extLst>
        </xdr:cNvPr>
        <xdr:cNvSpPr/>
      </xdr:nvSpPr>
      <xdr:spPr>
        <a:xfrm>
          <a:off x="7877175" y="1238251"/>
          <a:ext cx="2019300" cy="65722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r-TR" sz="1600">
              <a:solidFill>
                <a:srgbClr val="00B050"/>
              </a:solidFill>
              <a:latin typeface="+mn-lt"/>
              <a:ea typeface="+mn-ea"/>
              <a:cs typeface="+mn-cs"/>
            </a:rPr>
            <a:t>Toplam</a:t>
          </a:r>
          <a:r>
            <a:rPr lang="tr-TR" sz="1100"/>
            <a:t> </a:t>
          </a:r>
          <a:r>
            <a:rPr lang="tr-TR" sz="1600">
              <a:solidFill>
                <a:srgbClr val="00B050"/>
              </a:solidFill>
              <a:latin typeface="+mn-lt"/>
              <a:ea typeface="+mn-ea"/>
              <a:cs typeface="+mn-cs"/>
            </a:rPr>
            <a:t>Maliyet</a:t>
          </a:r>
        </a:p>
        <a:p>
          <a:pPr algn="ctr"/>
          <a:r>
            <a:rPr lang="tr-TR" sz="1600">
              <a:solidFill>
                <a:srgbClr val="00B050"/>
              </a:solidFill>
              <a:latin typeface="+mn-lt"/>
              <a:ea typeface="+mn-ea"/>
              <a:cs typeface="+mn-cs"/>
            </a:rPr>
            <a:t>44.798.000</a:t>
          </a:r>
        </a:p>
      </xdr:txBody>
    </xdr:sp>
    <xdr:clientData/>
  </xdr:twoCellAnchor>
  <xdr:twoCellAnchor>
    <xdr:from>
      <xdr:col>16</xdr:col>
      <xdr:colOff>447675</xdr:colOff>
      <xdr:row>2</xdr:row>
      <xdr:rowOff>123825</xdr:rowOff>
    </xdr:from>
    <xdr:to>
      <xdr:col>20</xdr:col>
      <xdr:colOff>28575</xdr:colOff>
      <xdr:row>9</xdr:row>
      <xdr:rowOff>180974</xdr:rowOff>
    </xdr:to>
    <xdr:sp macro="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7D48EBAB-D3CB-4D67-9E26-7533B1788C31}"/>
            </a:ext>
          </a:extLst>
        </xdr:cNvPr>
        <xdr:cNvSpPr/>
      </xdr:nvSpPr>
      <xdr:spPr>
        <a:xfrm>
          <a:off x="10201275" y="504825"/>
          <a:ext cx="2019300" cy="139064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tr-TR" sz="2200">
              <a:solidFill>
                <a:srgbClr val="00B050"/>
              </a:solidFill>
              <a:latin typeface="+mn-lt"/>
              <a:ea typeface="+mn-ea"/>
              <a:cs typeface="+mn-cs"/>
            </a:rPr>
            <a:t>Toplam Kar </a:t>
          </a:r>
        </a:p>
        <a:p>
          <a:pPr marL="0" indent="0" algn="ctr"/>
          <a:r>
            <a:rPr lang="tr-TR" sz="2200">
              <a:solidFill>
                <a:srgbClr val="00B050"/>
              </a:solidFill>
              <a:latin typeface="+mn-lt"/>
              <a:ea typeface="+mn-ea"/>
              <a:cs typeface="+mn-cs"/>
            </a:rPr>
            <a:t>17.566.000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63.693184490738" createdVersion="8" refreshedVersion="8" minRefreshableVersion="3" recordCount="18" xr:uid="{E6420464-0155-45BF-BC64-4D4D8BFD7991}">
  <cacheSource type="worksheet">
    <worksheetSource name="Teknoloji_Ürünleri"/>
  </cacheSource>
  <cacheFields count="10">
    <cacheField name="Ay" numFmtId="0">
      <sharedItems count="6">
        <s v="Ocak"/>
        <s v="Şubat"/>
        <s v="Mart"/>
        <s v="Nisan"/>
        <s v="Mayıs"/>
        <s v="Haziran"/>
      </sharedItems>
    </cacheField>
    <cacheField name="Ürün Kategorisi" numFmtId="0">
      <sharedItems count="3">
        <s v="Akıllı Telefon"/>
        <s v="Laptop"/>
        <s v="Kablosuz Kulaklık"/>
      </sharedItems>
    </cacheField>
    <cacheField name="Model" numFmtId="0">
      <sharedItems count="3">
        <s v="X-Phone 15"/>
        <s v="Pro-Book Air"/>
        <s v="Sound-Go"/>
      </sharedItems>
    </cacheField>
    <cacheField name="Satış Adedi" numFmtId="0">
      <sharedItems containsSemiMixedTypes="0" containsString="0" containsNumber="1" containsInteger="1" minValue="38" maxValue="320" count="18">
        <n v="120"/>
        <n v="45"/>
        <n v="210"/>
        <n v="145"/>
        <n v="38"/>
        <n v="180"/>
        <n v="110"/>
        <n v="55"/>
        <n v="250"/>
        <n v="90"/>
        <n v="40"/>
        <n v="300"/>
        <n v="160"/>
        <n v="65"/>
        <n v="280"/>
        <n v="130"/>
        <n v="50"/>
        <n v="320"/>
      </sharedItems>
    </cacheField>
    <cacheField name="Birim Satış Fiyatı (TL)" numFmtId="170">
      <sharedItems containsSemiMixedTypes="0" containsString="0" containsNumber="1" containsInteger="1" minValue="3200" maxValue="72000" count="12">
        <n v="45000"/>
        <n v="65000"/>
        <n v="3500"/>
        <n v="48000"/>
        <n v="3800"/>
        <n v="52000"/>
        <n v="68000"/>
        <n v="3200"/>
        <n v="50000"/>
        <n v="55000"/>
        <n v="72000"/>
        <n v="4000"/>
      </sharedItems>
    </cacheField>
    <cacheField name="Birim Maliyet (TL)" numFmtId="170">
      <sharedItems containsSemiMixedTypes="0" containsString="0" containsNumber="1" containsInteger="1" minValue="1800" maxValue="56000" count="8">
        <n v="32000"/>
        <n v="52000"/>
        <n v="1800"/>
        <n v="35000"/>
        <n v="54000"/>
        <n v="56000"/>
        <n v="2000"/>
        <n v="38000"/>
      </sharedItems>
    </cacheField>
    <cacheField name="Toplam Gelir (TL)" numFmtId="170">
      <sharedItems containsSemiMixedTypes="0" containsString="0" containsNumber="1" containsInteger="1" minValue="630000" maxValue="8000000"/>
    </cacheField>
    <cacheField name="Toplam Maliyet (TL)" numFmtId="170">
      <sharedItems containsSemiMixedTypes="0" containsString="0" containsNumber="1" containsInteger="1" minValue="324000" maxValue="5600000"/>
    </cacheField>
    <cacheField name="Toplam Kar (TL)" numFmtId="170">
      <sharedItems containsSemiMixedTypes="0" containsString="0" containsNumber="1" containsInteger="1" minValue="306000" maxValue="2400000"/>
    </cacheField>
    <cacheField name="Kar Marjı" numFmtId="0">
      <sharedItems containsSemiMixedTypes="0" containsString="0" containsNumber="1" minValue="16.923076923076923" maxValue="52.631578947368418" count="15">
        <n v="28.888888888888886"/>
        <n v="20"/>
        <n v="48.571428571428569"/>
        <n v="27.083333333333332"/>
        <n v="16.923076923076923"/>
        <n v="52.631578947368418"/>
        <n v="32.692307692307693"/>
        <n v="20.588235294117645"/>
        <n v="43.75"/>
        <n v="30"/>
        <n v="17.647058823529413"/>
        <n v="47.368421052631575"/>
        <n v="30.909090909090907"/>
        <n v="22.222222222222221"/>
        <n v="50"/>
      </sharedItems>
    </cacheField>
  </cacheFields>
  <extLst>
    <ext xmlns:x14="http://schemas.microsoft.com/office/spreadsheetml/2009/9/main" uri="{725AE2AE-9491-48be-B2B4-4EB974FC3084}">
      <x14:pivotCacheDefinition pivotCacheId="7160580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x v="0"/>
    <x v="0"/>
    <x v="0"/>
    <n v="5400000"/>
    <n v="3840000"/>
    <n v="1560000"/>
    <x v="0"/>
  </r>
  <r>
    <x v="0"/>
    <x v="1"/>
    <x v="1"/>
    <x v="1"/>
    <x v="1"/>
    <x v="1"/>
    <n v="2925000"/>
    <n v="2340000"/>
    <n v="585000"/>
    <x v="1"/>
  </r>
  <r>
    <x v="0"/>
    <x v="2"/>
    <x v="2"/>
    <x v="2"/>
    <x v="2"/>
    <x v="2"/>
    <n v="735000"/>
    <n v="378000"/>
    <n v="357000"/>
    <x v="2"/>
  </r>
  <r>
    <x v="1"/>
    <x v="0"/>
    <x v="0"/>
    <x v="3"/>
    <x v="0"/>
    <x v="0"/>
    <n v="6525000"/>
    <n v="4640000"/>
    <n v="1885000"/>
    <x v="0"/>
  </r>
  <r>
    <x v="1"/>
    <x v="1"/>
    <x v="1"/>
    <x v="4"/>
    <x v="1"/>
    <x v="1"/>
    <n v="2470000"/>
    <n v="1976000"/>
    <n v="494000"/>
    <x v="1"/>
  </r>
  <r>
    <x v="1"/>
    <x v="2"/>
    <x v="2"/>
    <x v="5"/>
    <x v="2"/>
    <x v="2"/>
    <n v="630000"/>
    <n v="324000"/>
    <n v="306000"/>
    <x v="2"/>
  </r>
  <r>
    <x v="2"/>
    <x v="0"/>
    <x v="0"/>
    <x v="6"/>
    <x v="3"/>
    <x v="3"/>
    <n v="5280000"/>
    <n v="3850000"/>
    <n v="1430000"/>
    <x v="3"/>
  </r>
  <r>
    <x v="2"/>
    <x v="1"/>
    <x v="1"/>
    <x v="7"/>
    <x v="1"/>
    <x v="4"/>
    <n v="3575000"/>
    <n v="2970000"/>
    <n v="605000"/>
    <x v="4"/>
  </r>
  <r>
    <x v="2"/>
    <x v="2"/>
    <x v="2"/>
    <x v="8"/>
    <x v="4"/>
    <x v="2"/>
    <n v="950000"/>
    <n v="450000"/>
    <n v="500000"/>
    <x v="5"/>
  </r>
  <r>
    <x v="3"/>
    <x v="0"/>
    <x v="0"/>
    <x v="9"/>
    <x v="5"/>
    <x v="3"/>
    <n v="4680000"/>
    <n v="3150000"/>
    <n v="1530000"/>
    <x v="6"/>
  </r>
  <r>
    <x v="3"/>
    <x v="1"/>
    <x v="1"/>
    <x v="10"/>
    <x v="6"/>
    <x v="4"/>
    <n v="2720000"/>
    <n v="2160000"/>
    <n v="560000"/>
    <x v="7"/>
  </r>
  <r>
    <x v="3"/>
    <x v="2"/>
    <x v="2"/>
    <x v="11"/>
    <x v="7"/>
    <x v="2"/>
    <n v="960000"/>
    <n v="540000"/>
    <n v="420000"/>
    <x v="8"/>
  </r>
  <r>
    <x v="4"/>
    <x v="0"/>
    <x v="0"/>
    <x v="12"/>
    <x v="8"/>
    <x v="3"/>
    <n v="8000000"/>
    <n v="5600000"/>
    <n v="2400000"/>
    <x v="9"/>
  </r>
  <r>
    <x v="4"/>
    <x v="1"/>
    <x v="1"/>
    <x v="13"/>
    <x v="6"/>
    <x v="5"/>
    <n v="4420000"/>
    <n v="3640000"/>
    <n v="780000"/>
    <x v="10"/>
  </r>
  <r>
    <x v="4"/>
    <x v="2"/>
    <x v="2"/>
    <x v="14"/>
    <x v="4"/>
    <x v="6"/>
    <n v="1064000"/>
    <n v="560000"/>
    <n v="504000"/>
    <x v="11"/>
  </r>
  <r>
    <x v="5"/>
    <x v="0"/>
    <x v="0"/>
    <x v="15"/>
    <x v="9"/>
    <x v="7"/>
    <n v="7150000"/>
    <n v="4940000"/>
    <n v="2210000"/>
    <x v="12"/>
  </r>
  <r>
    <x v="5"/>
    <x v="1"/>
    <x v="1"/>
    <x v="16"/>
    <x v="10"/>
    <x v="5"/>
    <n v="3600000"/>
    <n v="2800000"/>
    <n v="800000"/>
    <x v="13"/>
  </r>
  <r>
    <x v="5"/>
    <x v="2"/>
    <x v="2"/>
    <x v="17"/>
    <x v="11"/>
    <x v="6"/>
    <n v="1280000"/>
    <n v="640000"/>
    <n v="640000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5A170-332F-43B2-8B9C-394F0CAFAB99}" name="PivotTable9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9">
  <location ref="A47:E55" firstHeaderRow="1" firstDataRow="2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numFmtId="170" showAll="0"/>
    <pivotField dataField="1" numFmtId="170" showAll="0"/>
    <pivotField numFmtId="170" showAll="0"/>
    <pivotField numFmtId="170" showAll="0"/>
    <pivotField numFmtId="170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Toplam Birim Maliyet (TL)" fld="5" baseField="0" baseItem="0" numFmtId="170"/>
  </dataField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E5CAF-D69A-4DED-90A7-6B9009109068}" name="PivotTable8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1">
  <location ref="A121:E129" firstHeaderRow="1" firstDataRow="2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70" showAll="0"/>
    <pivotField numFmtId="170" showAll="0"/>
    <pivotField numFmtId="170" showAll="0"/>
    <pivotField numFmtId="170" showAll="0"/>
    <pivotField numFmtId="170" showAll="0"/>
    <pivotField dataField="1" showAll="0">
      <items count="16">
        <item x="4"/>
        <item x="10"/>
        <item x="1"/>
        <item x="7"/>
        <item x="13"/>
        <item x="3"/>
        <item x="0"/>
        <item x="9"/>
        <item x="12"/>
        <item x="6"/>
        <item x="8"/>
        <item x="11"/>
        <item x="2"/>
        <item x="1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Toplam Kar Marjı" fld="9" baseField="0" baseItem="0"/>
  </dataFields>
  <formats count="7">
    <format dxfId="41">
      <pivotArea collapsedLevelsAreSubtotals="1" fieldPosition="0">
        <references count="2">
          <reference field="0" count="1">
            <x v="0"/>
          </reference>
          <reference field="2" count="1" selected="0">
            <x v="2"/>
          </reference>
        </references>
      </pivotArea>
    </format>
    <format dxfId="40">
      <pivotArea collapsedLevelsAreSubtotals="1" fieldPosition="0">
        <references count="2">
          <reference field="0" count="4">
            <x v="2"/>
            <x v="3"/>
            <x v="4"/>
            <x v="5"/>
          </reference>
          <reference field="2" count="1" selected="0">
            <x v="0"/>
          </reference>
        </references>
      </pivotArea>
    </format>
    <format dxfId="39">
      <pivotArea collapsedLevelsAreSubtotals="1" fieldPosition="0">
        <references count="2">
          <reference field="0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38">
      <pivotArea collapsedLevelsAreSubtotals="1" fieldPosition="0">
        <references count="2">
          <reference field="0" count="1">
            <x v="4"/>
          </reference>
          <reference field="2" count="1" selected="0">
            <x v="1"/>
          </reference>
        </references>
      </pivotArea>
    </format>
    <format dxfId="37">
      <pivotArea collapsedLevelsAreSubtotals="1" fieldPosition="0">
        <references count="2">
          <reference field="0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36">
      <pivotArea collapsedLevelsAreSubtotals="1" fieldPosition="0">
        <references count="2">
          <reference field="0" count="1">
            <x v="5"/>
          </reference>
          <reference field="2" count="1" selected="0">
            <x v="2"/>
          </reference>
        </references>
      </pivotArea>
    </format>
    <format dxfId="35">
      <pivotArea field="0" grandCol="1" collapsedLevelsAreSubtotals="1" axis="axisRow" fieldPosition="0">
        <references count="1">
          <reference field="0" count="2">
            <x v="0"/>
            <x v="1"/>
          </reference>
        </references>
      </pivotArea>
    </format>
  </formats>
  <chartFormats count="3"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CBB05-F3B4-4B22-AF8B-25EADC047027}" name="PivotTable7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9">
  <location ref="A115:B119" firstHeaderRow="1" firstDataRow="1" firstDataCol="1"/>
  <pivotFields count="10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0" showAll="0"/>
    <pivotField numFmtId="170" showAll="0"/>
    <pivotField numFmtId="170" showAll="0"/>
    <pivotField numFmtId="170" showAll="0"/>
    <pivotField dataField="1" numFmtId="170" showAll="0"/>
    <pivotField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plam Toplam Kar (TL)" fld="8" baseField="0" baseItem="0" numFmtId="17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F5ECD-A47A-4DB3-B249-8D44F2E5EAAE}" name="PivotTable6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0">
  <location ref="A109:C113" firstHeaderRow="0" firstDataRow="1" firstDataCol="1"/>
  <pivotFields count="10"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0" showAll="0"/>
    <pivotField numFmtId="170" showAll="0"/>
    <pivotField dataField="1" numFmtId="170" showAll="0"/>
    <pivotField dataField="1" numFmtId="170" showAll="0"/>
    <pivotField numFmtId="170" showAll="0"/>
    <pivotField showAll="0"/>
  </pivotFields>
  <rowFields count="1">
    <field x="2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 Gelir (TL)" fld="6" baseField="2" baseItem="0" numFmtId="170"/>
    <dataField name="Toplam Toplam Maliyet (TL)" fld="7" baseField="0" baseItem="0" numFmtId="17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F5CCD-348F-4C74-BE8C-FAB0986B2E87}" name="PivotTable4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37:E45" firstHeaderRow="1" firstDataRow="2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>
      <items count="19">
        <item x="4"/>
        <item x="10"/>
        <item x="1"/>
        <item x="16"/>
        <item x="7"/>
        <item x="13"/>
        <item x="9"/>
        <item x="6"/>
        <item x="0"/>
        <item x="15"/>
        <item x="3"/>
        <item x="12"/>
        <item x="5"/>
        <item x="2"/>
        <item x="8"/>
        <item x="14"/>
        <item x="11"/>
        <item x="17"/>
        <item t="default"/>
      </items>
    </pivotField>
    <pivotField numFmtId="170" showAll="0">
      <items count="13">
        <item x="7"/>
        <item x="2"/>
        <item x="4"/>
        <item x="11"/>
        <item x="0"/>
        <item x="3"/>
        <item x="8"/>
        <item x="5"/>
        <item x="9"/>
        <item x="1"/>
        <item x="6"/>
        <item x="10"/>
        <item t="default"/>
      </items>
    </pivotField>
    <pivotField numFmtId="170" showAll="0"/>
    <pivotField numFmtId="170" showAll="0"/>
    <pivotField numFmtId="170" showAll="0"/>
    <pivotField numFmtId="170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Toplam Satış Adedi" fld="3" baseField="0" baseItem="0"/>
  </dataField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52AF6-7A48-447B-98A3-629B4DDC96A1}" name="PivotTable2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1">
  <location ref="A10:E18" firstHeaderRow="1" firstDataRow="2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dataField="1" numFmtId="170" showAll="0">
      <items count="13">
        <item x="7"/>
        <item x="2"/>
        <item x="4"/>
        <item x="11"/>
        <item x="0"/>
        <item x="3"/>
        <item x="8"/>
        <item x="5"/>
        <item x="9"/>
        <item x="1"/>
        <item x="6"/>
        <item x="10"/>
        <item t="default"/>
      </items>
    </pivotField>
    <pivotField numFmtId="170" showAll="0"/>
    <pivotField numFmtId="170" showAll="0"/>
    <pivotField numFmtId="170" showAll="0"/>
    <pivotField numFmtId="170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Toplam Birim Satış Fiyatı (TL)" fld="4" baseField="0" baseItem="0" numFmtId="170"/>
  </dataFields>
  <chartFormats count="4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0FCA5-BA2A-40BF-B130-6E4F7DE430C6}" name="PivotTable1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1:D8" firstHeaderRow="0" firstDataRow="1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numFmtId="170" showAll="0"/>
    <pivotField numFmtId="170" showAll="0"/>
    <pivotField dataField="1" numFmtId="170" showAll="0"/>
    <pivotField dataField="1" numFmtId="170" showAll="0"/>
    <pivotField dataField="1" numFmtId="170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Toplam Gelir (TL)" fld="6" baseField="0" baseItem="0" numFmtId="170"/>
    <dataField name="Toplam Toplam Maliyet (TL)" fld="7" baseField="0" baseItem="0" numFmtId="170"/>
    <dataField name="Toplam Toplam Kar (TL)" fld="8" baseField="0" baseItem="0" numFmtId="170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E11A51B1-D113-4658-B881-8FB795EC6ED5}" autoFormatId="16" applyNumberFormats="0" applyBorderFormats="0" applyFontFormats="0" applyPatternFormats="0" applyAlignmentFormats="0" applyWidthHeightFormats="0">
  <queryTableRefresh nextId="11" unboundColumnsRight="4">
    <queryTableFields count="10">
      <queryTableField id="1" name="Ay" tableColumnId="1"/>
      <queryTableField id="2" name="Ürün Kategorisi" tableColumnId="2"/>
      <queryTableField id="3" name="Model" tableColumnId="3"/>
      <queryTableField id="4" name="Satış Adedi" tableColumnId="4"/>
      <queryTableField id="5" name="Birim Satış Fiyatı (TL)" tableColumnId="5"/>
      <queryTableField id="6" name="Birim Maliyet (TL)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y" xr10:uid="{3A8537C1-76A2-45F9-96B5-465079708117}" sourceName="Ay">
  <pivotTables>
    <pivotTable tabId="1" name="PivotTable4"/>
    <pivotTable tabId="1" name="PivotTable1"/>
    <pivotTable tabId="1" name="PivotTable2"/>
    <pivotTable tabId="1" name="PivotTable6"/>
    <pivotTable tabId="1" name="PivotTable7"/>
    <pivotTable tabId="1" name="PivotTable8"/>
    <pivotTable tabId="1" name="PivotTable9"/>
  </pivotTables>
  <data>
    <tabular pivotCacheId="716058005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y" xr10:uid="{5E01906E-6F59-4E2F-9A29-E36DC176F05F}" cache="Dilimleyici_Ay" caption="Ay" columnCount="6" showCaption="0" style="SlicerStyleLight3" rowHeight="180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561A9-0DFE-4195-913A-18CA64E3F53B}" name="Teknoloji_Ürünleri" displayName="Teknoloji_Ürünleri" ref="A1:J20" tableType="queryTable" totalsRowShown="0">
  <autoFilter ref="A1:J20" xr:uid="{BE6561A9-0DFE-4195-913A-18CA64E3F53B}"/>
  <tableColumns count="10">
    <tableColumn id="1" xr3:uid="{79CB4F9B-3AB1-4DDF-BCEB-E51353B5FCBD}" uniqueName="1" name="Ay" queryTableFieldId="1" dataDxfId="50"/>
    <tableColumn id="2" xr3:uid="{FB202A54-F12D-4D3C-BEEE-F394E09BC295}" uniqueName="2" name="Ürün Kategorisi" queryTableFieldId="2" dataDxfId="49"/>
    <tableColumn id="3" xr3:uid="{D921EBD0-26C2-4363-BA3A-C3DB53332663}" uniqueName="3" name="Model" queryTableFieldId="3" dataDxfId="48"/>
    <tableColumn id="4" xr3:uid="{8DA6269C-267E-4A72-811D-0CDAA1DC5439}" uniqueName="4" name="Satış Adedi" queryTableFieldId="4"/>
    <tableColumn id="5" xr3:uid="{A9577ABC-A828-4E1F-BDE1-2A622C8C9643}" uniqueName="5" name="Birim Satış Fiyatı (TL)" queryTableFieldId="5" dataDxfId="47" dataCellStyle="Virgül"/>
    <tableColumn id="6" xr3:uid="{3B57AB4D-4092-4BE8-A905-C452632032A2}" uniqueName="6" name="Birim Maliyet (TL)" queryTableFieldId="6" dataDxfId="46" dataCellStyle="Virgül"/>
    <tableColumn id="7" xr3:uid="{F998EB67-7BA5-4284-8A43-7688BEAAA7B1}" uniqueName="7" name="Toplam Gelir (TL)" queryTableFieldId="7" dataDxfId="45" dataCellStyle="Virgül">
      <calculatedColumnFormula>(Teknoloji_Ürünleri[[#This Row],[Birim Satış Fiyatı (TL)]]*Teknoloji_Ürünleri[[#This Row],[Satış Adedi]])</calculatedColumnFormula>
    </tableColumn>
    <tableColumn id="8" xr3:uid="{2DB024BF-0B80-4E8B-980D-58F08788C756}" uniqueName="8" name="Toplam Maliyet (TL)" queryTableFieldId="8" dataDxfId="44" dataCellStyle="Virgül">
      <calculatedColumnFormula>(Teknoloji_Ürünleri[[#This Row],[Birim Maliyet (TL)]]*Teknoloji_Ürünleri[[#This Row],[Satış Adedi]])</calculatedColumnFormula>
    </tableColumn>
    <tableColumn id="9" xr3:uid="{471CA41B-BE01-43A2-8D2E-B80A1E88FA24}" uniqueName="9" name="Toplam Kar (TL)" queryTableFieldId="9" dataDxfId="42" dataCellStyle="Virgül">
      <calculatedColumnFormula>((Teknoloji_Ürünleri[[#This Row],[Birim Satış Fiyatı (TL)]]-Teknoloji_Ürünleri[[#This Row],[Birim Maliyet (TL)]])*Teknoloji_Ürünleri[[#This Row],[Satış Adedi]])</calculatedColumnFormula>
    </tableColumn>
    <tableColumn id="10" xr3:uid="{15D4C021-733D-4A29-BC13-82536FB02A27}" uniqueName="10" name="Kar Marjı" queryTableFieldId="10" dataDxfId="43">
      <calculatedColumnFormula>(((Teknoloji_Ürünleri[[#This Row],[Birim Satış Fiyatı (TL)]]-Teknoloji_Ürünleri[[#This Row],[Birim Maliyet (TL)]])/Teknoloji_Ürünleri[[#This Row],[Birim Satış Fiyatı (TL)]])*100)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D529-CCC9-465A-868D-86C138E1650D}">
  <dimension ref="A1:J22"/>
  <sheetViews>
    <sheetView workbookViewId="0">
      <selection activeCell="I23" sqref="I23"/>
    </sheetView>
  </sheetViews>
  <sheetFormatPr defaultRowHeight="15" x14ac:dyDescent="0.25"/>
  <cols>
    <col min="1" max="1" width="7.85546875" bestFit="1" customWidth="1"/>
    <col min="2" max="2" width="17.140625" bestFit="1" customWidth="1"/>
    <col min="3" max="3" width="12" bestFit="1" customWidth="1"/>
    <col min="4" max="4" width="13.28515625" bestFit="1" customWidth="1"/>
    <col min="5" max="5" width="22.28515625" bestFit="1" customWidth="1"/>
    <col min="6" max="6" width="19" bestFit="1" customWidth="1"/>
    <col min="7" max="7" width="18.7109375" bestFit="1" customWidth="1"/>
    <col min="8" max="8" width="21" bestFit="1" customWidth="1"/>
    <col min="9" max="9" width="17.140625" bestFit="1" customWidth="1"/>
    <col min="10" max="10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5">
      <c r="A2" s="1" t="s">
        <v>6</v>
      </c>
      <c r="B2" s="1" t="s">
        <v>7</v>
      </c>
      <c r="C2" s="1" t="s">
        <v>8</v>
      </c>
      <c r="D2">
        <v>120</v>
      </c>
      <c r="E2" s="3">
        <v>45000</v>
      </c>
      <c r="F2" s="3">
        <v>32000</v>
      </c>
      <c r="G2" s="3">
        <f>(Teknoloji_Ürünleri[[#This Row],[Birim Satış Fiyatı (TL)]]*Teknoloji_Ürünleri[[#This Row],[Satış Adedi]])</f>
        <v>5400000</v>
      </c>
      <c r="H2" s="3">
        <f>(Teknoloji_Ürünleri[[#This Row],[Birim Maliyet (TL)]]*Teknoloji_Ürünleri[[#This Row],[Satış Adedi]])</f>
        <v>3840000</v>
      </c>
      <c r="I2" s="3">
        <f>((Teknoloji_Ürünleri[[#This Row],[Birim Satış Fiyatı (TL)]]-Teknoloji_Ürünleri[[#This Row],[Birim Maliyet (TL)]])*Teknoloji_Ürünleri[[#This Row],[Satış Adedi]])</f>
        <v>1560000</v>
      </c>
      <c r="J2" s="2">
        <f>(((Teknoloji_Ürünleri[[#This Row],[Birim Satış Fiyatı (TL)]]-Teknoloji_Ürünleri[[#This Row],[Birim Maliyet (TL)]])/Teknoloji_Ürünleri[[#This Row],[Birim Satış Fiyatı (TL)]])*100)</f>
        <v>28.888888888888886</v>
      </c>
    </row>
    <row r="3" spans="1:10" x14ac:dyDescent="0.25">
      <c r="A3" s="1" t="s">
        <v>6</v>
      </c>
      <c r="B3" s="1" t="s">
        <v>9</v>
      </c>
      <c r="C3" s="1" t="s">
        <v>10</v>
      </c>
      <c r="D3">
        <v>45</v>
      </c>
      <c r="E3" s="3">
        <v>65000</v>
      </c>
      <c r="F3" s="3">
        <v>52000</v>
      </c>
      <c r="G3" s="3">
        <f>(Teknoloji_Ürünleri[[#This Row],[Birim Satış Fiyatı (TL)]]*Teknoloji_Ürünleri[[#This Row],[Satış Adedi]])</f>
        <v>2925000</v>
      </c>
      <c r="H3" s="3">
        <f>(Teknoloji_Ürünleri[[#This Row],[Birim Maliyet (TL)]]*Teknoloji_Ürünleri[[#This Row],[Satış Adedi]])</f>
        <v>2340000</v>
      </c>
      <c r="I3" s="3">
        <f>((Teknoloji_Ürünleri[[#This Row],[Birim Satış Fiyatı (TL)]]-Teknoloji_Ürünleri[[#This Row],[Birim Maliyet (TL)]])*Teknoloji_Ürünleri[[#This Row],[Satış Adedi]])</f>
        <v>585000</v>
      </c>
      <c r="J3">
        <f>(((Teknoloji_Ürünleri[[#This Row],[Birim Satış Fiyatı (TL)]]-Teknoloji_Ürünleri[[#This Row],[Birim Maliyet (TL)]])/Teknoloji_Ürünleri[[#This Row],[Birim Satış Fiyatı (TL)]])*100)</f>
        <v>20</v>
      </c>
    </row>
    <row r="4" spans="1:10" x14ac:dyDescent="0.25">
      <c r="A4" s="1" t="s">
        <v>6</v>
      </c>
      <c r="B4" s="1" t="s">
        <v>11</v>
      </c>
      <c r="C4" s="1" t="s">
        <v>12</v>
      </c>
      <c r="D4">
        <v>210</v>
      </c>
      <c r="E4" s="3">
        <v>3500</v>
      </c>
      <c r="F4" s="3">
        <v>1800</v>
      </c>
      <c r="G4" s="3">
        <f>(Teknoloji_Ürünleri[[#This Row],[Birim Satış Fiyatı (TL)]]*Teknoloji_Ürünleri[[#This Row],[Satış Adedi]])</f>
        <v>735000</v>
      </c>
      <c r="H4" s="3">
        <f>(Teknoloji_Ürünleri[[#This Row],[Birim Maliyet (TL)]]*Teknoloji_Ürünleri[[#This Row],[Satış Adedi]])</f>
        <v>378000</v>
      </c>
      <c r="I4" s="3">
        <f>((Teknoloji_Ürünleri[[#This Row],[Birim Satış Fiyatı (TL)]]-Teknoloji_Ürünleri[[#This Row],[Birim Maliyet (TL)]])*Teknoloji_Ürünleri[[#This Row],[Satış Adedi]])</f>
        <v>357000</v>
      </c>
      <c r="J4" s="2">
        <f>(((Teknoloji_Ürünleri[[#This Row],[Birim Satış Fiyatı (TL)]]-Teknoloji_Ürünleri[[#This Row],[Birim Maliyet (TL)]])/Teknoloji_Ürünleri[[#This Row],[Birim Satış Fiyatı (TL)]])*100)</f>
        <v>48.571428571428569</v>
      </c>
    </row>
    <row r="5" spans="1:10" x14ac:dyDescent="0.25">
      <c r="A5" s="1" t="s">
        <v>13</v>
      </c>
      <c r="B5" s="1" t="s">
        <v>7</v>
      </c>
      <c r="C5" s="1" t="s">
        <v>8</v>
      </c>
      <c r="D5">
        <v>145</v>
      </c>
      <c r="E5" s="3">
        <v>45000</v>
      </c>
      <c r="F5" s="3">
        <v>32000</v>
      </c>
      <c r="G5" s="3">
        <f>(Teknoloji_Ürünleri[[#This Row],[Birim Satış Fiyatı (TL)]]*Teknoloji_Ürünleri[[#This Row],[Satış Adedi]])</f>
        <v>6525000</v>
      </c>
      <c r="H5" s="3">
        <f>(Teknoloji_Ürünleri[[#This Row],[Birim Maliyet (TL)]]*Teknoloji_Ürünleri[[#This Row],[Satış Adedi]])</f>
        <v>4640000</v>
      </c>
      <c r="I5" s="3">
        <f>((Teknoloji_Ürünleri[[#This Row],[Birim Satış Fiyatı (TL)]]-Teknoloji_Ürünleri[[#This Row],[Birim Maliyet (TL)]])*Teknoloji_Ürünleri[[#This Row],[Satış Adedi]])</f>
        <v>1885000</v>
      </c>
      <c r="J5" s="2">
        <f>(((Teknoloji_Ürünleri[[#This Row],[Birim Satış Fiyatı (TL)]]-Teknoloji_Ürünleri[[#This Row],[Birim Maliyet (TL)]])/Teknoloji_Ürünleri[[#This Row],[Birim Satış Fiyatı (TL)]])*100)</f>
        <v>28.888888888888886</v>
      </c>
    </row>
    <row r="6" spans="1:10" x14ac:dyDescent="0.25">
      <c r="A6" s="1" t="s">
        <v>13</v>
      </c>
      <c r="B6" s="1" t="s">
        <v>9</v>
      </c>
      <c r="C6" s="1" t="s">
        <v>10</v>
      </c>
      <c r="D6">
        <v>38</v>
      </c>
      <c r="E6" s="3">
        <v>65000</v>
      </c>
      <c r="F6" s="3">
        <v>52000</v>
      </c>
      <c r="G6" s="3">
        <f>(Teknoloji_Ürünleri[[#This Row],[Birim Satış Fiyatı (TL)]]*Teknoloji_Ürünleri[[#This Row],[Satış Adedi]])</f>
        <v>2470000</v>
      </c>
      <c r="H6" s="3">
        <f>(Teknoloji_Ürünleri[[#This Row],[Birim Maliyet (TL)]]*Teknoloji_Ürünleri[[#This Row],[Satış Adedi]])</f>
        <v>1976000</v>
      </c>
      <c r="I6" s="3">
        <f>((Teknoloji_Ürünleri[[#This Row],[Birim Satış Fiyatı (TL)]]-Teknoloji_Ürünleri[[#This Row],[Birim Maliyet (TL)]])*Teknoloji_Ürünleri[[#This Row],[Satış Adedi]])</f>
        <v>494000</v>
      </c>
      <c r="J6">
        <f>(((Teknoloji_Ürünleri[[#This Row],[Birim Satış Fiyatı (TL)]]-Teknoloji_Ürünleri[[#This Row],[Birim Maliyet (TL)]])/Teknoloji_Ürünleri[[#This Row],[Birim Satış Fiyatı (TL)]])*100)</f>
        <v>20</v>
      </c>
    </row>
    <row r="7" spans="1:10" x14ac:dyDescent="0.25">
      <c r="A7" s="1" t="s">
        <v>13</v>
      </c>
      <c r="B7" s="1" t="s">
        <v>11</v>
      </c>
      <c r="C7" s="1" t="s">
        <v>12</v>
      </c>
      <c r="D7">
        <v>180</v>
      </c>
      <c r="E7" s="3">
        <v>3500</v>
      </c>
      <c r="F7" s="3">
        <v>1800</v>
      </c>
      <c r="G7" s="3">
        <f>(Teknoloji_Ürünleri[[#This Row],[Birim Satış Fiyatı (TL)]]*Teknoloji_Ürünleri[[#This Row],[Satış Adedi]])</f>
        <v>630000</v>
      </c>
      <c r="H7" s="3">
        <f>(Teknoloji_Ürünleri[[#This Row],[Birim Maliyet (TL)]]*Teknoloji_Ürünleri[[#This Row],[Satış Adedi]])</f>
        <v>324000</v>
      </c>
      <c r="I7" s="3">
        <f>((Teknoloji_Ürünleri[[#This Row],[Birim Satış Fiyatı (TL)]]-Teknoloji_Ürünleri[[#This Row],[Birim Maliyet (TL)]])*Teknoloji_Ürünleri[[#This Row],[Satış Adedi]])</f>
        <v>306000</v>
      </c>
      <c r="J7" s="2">
        <f>(((Teknoloji_Ürünleri[[#This Row],[Birim Satış Fiyatı (TL)]]-Teknoloji_Ürünleri[[#This Row],[Birim Maliyet (TL)]])/Teknoloji_Ürünleri[[#This Row],[Birim Satış Fiyatı (TL)]])*100)</f>
        <v>48.571428571428569</v>
      </c>
    </row>
    <row r="8" spans="1:10" x14ac:dyDescent="0.25">
      <c r="A8" s="1" t="s">
        <v>14</v>
      </c>
      <c r="B8" s="1" t="s">
        <v>7</v>
      </c>
      <c r="C8" s="1" t="s">
        <v>8</v>
      </c>
      <c r="D8">
        <v>110</v>
      </c>
      <c r="E8" s="3">
        <v>48000</v>
      </c>
      <c r="F8" s="3">
        <v>35000</v>
      </c>
      <c r="G8" s="3">
        <f>(Teknoloji_Ürünleri[[#This Row],[Birim Satış Fiyatı (TL)]]*Teknoloji_Ürünleri[[#This Row],[Satış Adedi]])</f>
        <v>5280000</v>
      </c>
      <c r="H8" s="3">
        <f>(Teknoloji_Ürünleri[[#This Row],[Birim Maliyet (TL)]]*Teknoloji_Ürünleri[[#This Row],[Satış Adedi]])</f>
        <v>3850000</v>
      </c>
      <c r="I8" s="3">
        <f>((Teknoloji_Ürünleri[[#This Row],[Birim Satış Fiyatı (TL)]]-Teknoloji_Ürünleri[[#This Row],[Birim Maliyet (TL)]])*Teknoloji_Ürünleri[[#This Row],[Satış Adedi]])</f>
        <v>1430000</v>
      </c>
      <c r="J8" s="2">
        <f>(((Teknoloji_Ürünleri[[#This Row],[Birim Satış Fiyatı (TL)]]-Teknoloji_Ürünleri[[#This Row],[Birim Maliyet (TL)]])/Teknoloji_Ürünleri[[#This Row],[Birim Satış Fiyatı (TL)]])*100)</f>
        <v>27.083333333333332</v>
      </c>
    </row>
    <row r="9" spans="1:10" x14ac:dyDescent="0.25">
      <c r="A9" s="1" t="s">
        <v>14</v>
      </c>
      <c r="B9" s="1" t="s">
        <v>9</v>
      </c>
      <c r="C9" s="1" t="s">
        <v>10</v>
      </c>
      <c r="D9">
        <v>55</v>
      </c>
      <c r="E9" s="3">
        <v>65000</v>
      </c>
      <c r="F9" s="3">
        <v>54000</v>
      </c>
      <c r="G9" s="3">
        <f>(Teknoloji_Ürünleri[[#This Row],[Birim Satış Fiyatı (TL)]]*Teknoloji_Ürünleri[[#This Row],[Satış Adedi]])</f>
        <v>3575000</v>
      </c>
      <c r="H9" s="3">
        <f>(Teknoloji_Ürünleri[[#This Row],[Birim Maliyet (TL)]]*Teknoloji_Ürünleri[[#This Row],[Satış Adedi]])</f>
        <v>2970000</v>
      </c>
      <c r="I9" s="3">
        <f>((Teknoloji_Ürünleri[[#This Row],[Birim Satış Fiyatı (TL)]]-Teknoloji_Ürünleri[[#This Row],[Birim Maliyet (TL)]])*Teknoloji_Ürünleri[[#This Row],[Satış Adedi]])</f>
        <v>605000</v>
      </c>
      <c r="J9" s="2">
        <f>(((Teknoloji_Ürünleri[[#This Row],[Birim Satış Fiyatı (TL)]]-Teknoloji_Ürünleri[[#This Row],[Birim Maliyet (TL)]])/Teknoloji_Ürünleri[[#This Row],[Birim Satış Fiyatı (TL)]])*100)</f>
        <v>16.923076923076923</v>
      </c>
    </row>
    <row r="10" spans="1:10" x14ac:dyDescent="0.25">
      <c r="A10" s="1" t="s">
        <v>14</v>
      </c>
      <c r="B10" s="1" t="s">
        <v>11</v>
      </c>
      <c r="C10" s="1" t="s">
        <v>12</v>
      </c>
      <c r="D10">
        <v>250</v>
      </c>
      <c r="E10" s="3">
        <v>3800</v>
      </c>
      <c r="F10" s="3">
        <v>1800</v>
      </c>
      <c r="G10" s="3">
        <f>(Teknoloji_Ürünleri[[#This Row],[Birim Satış Fiyatı (TL)]]*Teknoloji_Ürünleri[[#This Row],[Satış Adedi]])</f>
        <v>950000</v>
      </c>
      <c r="H10" s="3">
        <f>(Teknoloji_Ürünleri[[#This Row],[Birim Maliyet (TL)]]*Teknoloji_Ürünleri[[#This Row],[Satış Adedi]])</f>
        <v>450000</v>
      </c>
      <c r="I10" s="3">
        <f>((Teknoloji_Ürünleri[[#This Row],[Birim Satış Fiyatı (TL)]]-Teknoloji_Ürünleri[[#This Row],[Birim Maliyet (TL)]])*Teknoloji_Ürünleri[[#This Row],[Satış Adedi]])</f>
        <v>500000</v>
      </c>
      <c r="J10" s="2">
        <f>(((Teknoloji_Ürünleri[[#This Row],[Birim Satış Fiyatı (TL)]]-Teknoloji_Ürünleri[[#This Row],[Birim Maliyet (TL)]])/Teknoloji_Ürünleri[[#This Row],[Birim Satış Fiyatı (TL)]])*100)</f>
        <v>52.631578947368418</v>
      </c>
    </row>
    <row r="11" spans="1:10" x14ac:dyDescent="0.25">
      <c r="A11" s="1" t="s">
        <v>15</v>
      </c>
      <c r="B11" s="1" t="s">
        <v>7</v>
      </c>
      <c r="C11" s="1" t="s">
        <v>8</v>
      </c>
      <c r="D11">
        <v>90</v>
      </c>
      <c r="E11" s="3">
        <v>52000</v>
      </c>
      <c r="F11" s="3">
        <v>35000</v>
      </c>
      <c r="G11" s="3">
        <f>(Teknoloji_Ürünleri[[#This Row],[Birim Satış Fiyatı (TL)]]*Teknoloji_Ürünleri[[#This Row],[Satış Adedi]])</f>
        <v>4680000</v>
      </c>
      <c r="H11" s="3">
        <f>(Teknoloji_Ürünleri[[#This Row],[Birim Maliyet (TL)]]*Teknoloji_Ürünleri[[#This Row],[Satış Adedi]])</f>
        <v>3150000</v>
      </c>
      <c r="I11" s="3">
        <f>((Teknoloji_Ürünleri[[#This Row],[Birim Satış Fiyatı (TL)]]-Teknoloji_Ürünleri[[#This Row],[Birim Maliyet (TL)]])*Teknoloji_Ürünleri[[#This Row],[Satış Adedi]])</f>
        <v>1530000</v>
      </c>
      <c r="J11" s="2">
        <f>(((Teknoloji_Ürünleri[[#This Row],[Birim Satış Fiyatı (TL)]]-Teknoloji_Ürünleri[[#This Row],[Birim Maliyet (TL)]])/Teknoloji_Ürünleri[[#This Row],[Birim Satış Fiyatı (TL)]])*100)</f>
        <v>32.692307692307693</v>
      </c>
    </row>
    <row r="12" spans="1:10" x14ac:dyDescent="0.25">
      <c r="A12" s="1" t="s">
        <v>15</v>
      </c>
      <c r="B12" s="1" t="s">
        <v>9</v>
      </c>
      <c r="C12" s="1" t="s">
        <v>10</v>
      </c>
      <c r="D12">
        <v>40</v>
      </c>
      <c r="E12" s="3">
        <v>68000</v>
      </c>
      <c r="F12" s="3">
        <v>54000</v>
      </c>
      <c r="G12" s="3">
        <f>(Teknoloji_Ürünleri[[#This Row],[Birim Satış Fiyatı (TL)]]*Teknoloji_Ürünleri[[#This Row],[Satış Adedi]])</f>
        <v>2720000</v>
      </c>
      <c r="H12" s="3">
        <f>(Teknoloji_Ürünleri[[#This Row],[Birim Maliyet (TL)]]*Teknoloji_Ürünleri[[#This Row],[Satış Adedi]])</f>
        <v>2160000</v>
      </c>
      <c r="I12" s="3">
        <f>((Teknoloji_Ürünleri[[#This Row],[Birim Satış Fiyatı (TL)]]-Teknoloji_Ürünleri[[#This Row],[Birim Maliyet (TL)]])*Teknoloji_Ürünleri[[#This Row],[Satış Adedi]])</f>
        <v>560000</v>
      </c>
      <c r="J12" s="2">
        <f>(((Teknoloji_Ürünleri[[#This Row],[Birim Satış Fiyatı (TL)]]-Teknoloji_Ürünleri[[#This Row],[Birim Maliyet (TL)]])/Teknoloji_Ürünleri[[#This Row],[Birim Satış Fiyatı (TL)]])*100)</f>
        <v>20.588235294117645</v>
      </c>
    </row>
    <row r="13" spans="1:10" x14ac:dyDescent="0.25">
      <c r="A13" s="1" t="s">
        <v>15</v>
      </c>
      <c r="B13" s="1" t="s">
        <v>11</v>
      </c>
      <c r="C13" s="1" t="s">
        <v>12</v>
      </c>
      <c r="D13">
        <v>300</v>
      </c>
      <c r="E13" s="3">
        <v>3200</v>
      </c>
      <c r="F13" s="3">
        <v>1800</v>
      </c>
      <c r="G13" s="3">
        <f>(Teknoloji_Ürünleri[[#This Row],[Birim Satış Fiyatı (TL)]]*Teknoloji_Ürünleri[[#This Row],[Satış Adedi]])</f>
        <v>960000</v>
      </c>
      <c r="H13" s="3">
        <f>(Teknoloji_Ürünleri[[#This Row],[Birim Maliyet (TL)]]*Teknoloji_Ürünleri[[#This Row],[Satış Adedi]])</f>
        <v>540000</v>
      </c>
      <c r="I13" s="3">
        <f>((Teknoloji_Ürünleri[[#This Row],[Birim Satış Fiyatı (TL)]]-Teknoloji_Ürünleri[[#This Row],[Birim Maliyet (TL)]])*Teknoloji_Ürünleri[[#This Row],[Satış Adedi]])</f>
        <v>420000</v>
      </c>
      <c r="J13">
        <f>(((Teknoloji_Ürünleri[[#This Row],[Birim Satış Fiyatı (TL)]]-Teknoloji_Ürünleri[[#This Row],[Birim Maliyet (TL)]])/Teknoloji_Ürünleri[[#This Row],[Birim Satış Fiyatı (TL)]])*100)</f>
        <v>43.75</v>
      </c>
    </row>
    <row r="14" spans="1:10" x14ac:dyDescent="0.25">
      <c r="A14" s="1" t="s">
        <v>16</v>
      </c>
      <c r="B14" s="1" t="s">
        <v>7</v>
      </c>
      <c r="C14" s="1" t="s">
        <v>8</v>
      </c>
      <c r="D14">
        <v>160</v>
      </c>
      <c r="E14" s="3">
        <v>50000</v>
      </c>
      <c r="F14" s="3">
        <v>35000</v>
      </c>
      <c r="G14" s="3">
        <f>(Teknoloji_Ürünleri[[#This Row],[Birim Satış Fiyatı (TL)]]*Teknoloji_Ürünleri[[#This Row],[Satış Adedi]])</f>
        <v>8000000</v>
      </c>
      <c r="H14" s="3">
        <f>(Teknoloji_Ürünleri[[#This Row],[Birim Maliyet (TL)]]*Teknoloji_Ürünleri[[#This Row],[Satış Adedi]])</f>
        <v>5600000</v>
      </c>
      <c r="I14" s="3">
        <f>((Teknoloji_Ürünleri[[#This Row],[Birim Satış Fiyatı (TL)]]-Teknoloji_Ürünleri[[#This Row],[Birim Maliyet (TL)]])*Teknoloji_Ürünleri[[#This Row],[Satış Adedi]])</f>
        <v>2400000</v>
      </c>
      <c r="J14">
        <f>(((Teknoloji_Ürünleri[[#This Row],[Birim Satış Fiyatı (TL)]]-Teknoloji_Ürünleri[[#This Row],[Birim Maliyet (TL)]])/Teknoloji_Ürünleri[[#This Row],[Birim Satış Fiyatı (TL)]])*100)</f>
        <v>30</v>
      </c>
    </row>
    <row r="15" spans="1:10" x14ac:dyDescent="0.25">
      <c r="A15" s="1" t="s">
        <v>16</v>
      </c>
      <c r="B15" s="1" t="s">
        <v>9</v>
      </c>
      <c r="C15" s="1" t="s">
        <v>10</v>
      </c>
      <c r="D15">
        <v>65</v>
      </c>
      <c r="E15" s="3">
        <v>68000</v>
      </c>
      <c r="F15" s="3">
        <v>56000</v>
      </c>
      <c r="G15" s="3">
        <f>(Teknoloji_Ürünleri[[#This Row],[Birim Satış Fiyatı (TL)]]*Teknoloji_Ürünleri[[#This Row],[Satış Adedi]])</f>
        <v>4420000</v>
      </c>
      <c r="H15" s="3">
        <f>(Teknoloji_Ürünleri[[#This Row],[Birim Maliyet (TL)]]*Teknoloji_Ürünleri[[#This Row],[Satış Adedi]])</f>
        <v>3640000</v>
      </c>
      <c r="I15" s="3">
        <f>((Teknoloji_Ürünleri[[#This Row],[Birim Satış Fiyatı (TL)]]-Teknoloji_Ürünleri[[#This Row],[Birim Maliyet (TL)]])*Teknoloji_Ürünleri[[#This Row],[Satış Adedi]])</f>
        <v>780000</v>
      </c>
      <c r="J15" s="2">
        <f>(((Teknoloji_Ürünleri[[#This Row],[Birim Satış Fiyatı (TL)]]-Teknoloji_Ürünleri[[#This Row],[Birim Maliyet (TL)]])/Teknoloji_Ürünleri[[#This Row],[Birim Satış Fiyatı (TL)]])*100)</f>
        <v>17.647058823529413</v>
      </c>
    </row>
    <row r="16" spans="1:10" x14ac:dyDescent="0.25">
      <c r="A16" s="1" t="s">
        <v>16</v>
      </c>
      <c r="B16" s="1" t="s">
        <v>11</v>
      </c>
      <c r="C16" s="1" t="s">
        <v>12</v>
      </c>
      <c r="D16">
        <v>280</v>
      </c>
      <c r="E16" s="3">
        <v>3800</v>
      </c>
      <c r="F16" s="3">
        <v>2000</v>
      </c>
      <c r="G16" s="3">
        <f>(Teknoloji_Ürünleri[[#This Row],[Birim Satış Fiyatı (TL)]]*Teknoloji_Ürünleri[[#This Row],[Satış Adedi]])</f>
        <v>1064000</v>
      </c>
      <c r="H16" s="3">
        <f>(Teknoloji_Ürünleri[[#This Row],[Birim Maliyet (TL)]]*Teknoloji_Ürünleri[[#This Row],[Satış Adedi]])</f>
        <v>560000</v>
      </c>
      <c r="I16" s="3">
        <f>((Teknoloji_Ürünleri[[#This Row],[Birim Satış Fiyatı (TL)]]-Teknoloji_Ürünleri[[#This Row],[Birim Maliyet (TL)]])*Teknoloji_Ürünleri[[#This Row],[Satış Adedi]])</f>
        <v>504000</v>
      </c>
      <c r="J16" s="2">
        <f>(((Teknoloji_Ürünleri[[#This Row],[Birim Satış Fiyatı (TL)]]-Teknoloji_Ürünleri[[#This Row],[Birim Maliyet (TL)]])/Teknoloji_Ürünleri[[#This Row],[Birim Satış Fiyatı (TL)]])*100)</f>
        <v>47.368421052631575</v>
      </c>
    </row>
    <row r="17" spans="1:10" x14ac:dyDescent="0.25">
      <c r="A17" s="1" t="s">
        <v>17</v>
      </c>
      <c r="B17" s="1" t="s">
        <v>7</v>
      </c>
      <c r="C17" s="1" t="s">
        <v>8</v>
      </c>
      <c r="D17">
        <v>130</v>
      </c>
      <c r="E17" s="3">
        <v>55000</v>
      </c>
      <c r="F17" s="3">
        <v>38000</v>
      </c>
      <c r="G17" s="3">
        <f>(Teknoloji_Ürünleri[[#This Row],[Birim Satış Fiyatı (TL)]]*Teknoloji_Ürünleri[[#This Row],[Satış Adedi]])</f>
        <v>7150000</v>
      </c>
      <c r="H17" s="3">
        <f>(Teknoloji_Ürünleri[[#This Row],[Birim Maliyet (TL)]]*Teknoloji_Ürünleri[[#This Row],[Satış Adedi]])</f>
        <v>4940000</v>
      </c>
      <c r="I17" s="3">
        <f>((Teknoloji_Ürünleri[[#This Row],[Birim Satış Fiyatı (TL)]]-Teknoloji_Ürünleri[[#This Row],[Birim Maliyet (TL)]])*Teknoloji_Ürünleri[[#This Row],[Satış Adedi]])</f>
        <v>2210000</v>
      </c>
      <c r="J17" s="2">
        <f>(((Teknoloji_Ürünleri[[#This Row],[Birim Satış Fiyatı (TL)]]-Teknoloji_Ürünleri[[#This Row],[Birim Maliyet (TL)]])/Teknoloji_Ürünleri[[#This Row],[Birim Satış Fiyatı (TL)]])*100)</f>
        <v>30.909090909090907</v>
      </c>
    </row>
    <row r="18" spans="1:10" x14ac:dyDescent="0.25">
      <c r="A18" s="1" t="s">
        <v>17</v>
      </c>
      <c r="B18" s="1" t="s">
        <v>9</v>
      </c>
      <c r="C18" s="1" t="s">
        <v>10</v>
      </c>
      <c r="D18">
        <v>50</v>
      </c>
      <c r="E18" s="3">
        <v>72000</v>
      </c>
      <c r="F18" s="3">
        <v>56000</v>
      </c>
      <c r="G18" s="3">
        <f>(Teknoloji_Ürünleri[[#This Row],[Birim Satış Fiyatı (TL)]]*Teknoloji_Ürünleri[[#This Row],[Satış Adedi]])</f>
        <v>3600000</v>
      </c>
      <c r="H18" s="3">
        <f>(Teknoloji_Ürünleri[[#This Row],[Birim Maliyet (TL)]]*Teknoloji_Ürünleri[[#This Row],[Satış Adedi]])</f>
        <v>2800000</v>
      </c>
      <c r="I18" s="3">
        <f>((Teknoloji_Ürünleri[[#This Row],[Birim Satış Fiyatı (TL)]]-Teknoloji_Ürünleri[[#This Row],[Birim Maliyet (TL)]])*Teknoloji_Ürünleri[[#This Row],[Satış Adedi]])</f>
        <v>800000</v>
      </c>
      <c r="J18" s="2">
        <f>(((Teknoloji_Ürünleri[[#This Row],[Birim Satış Fiyatı (TL)]]-Teknoloji_Ürünleri[[#This Row],[Birim Maliyet (TL)]])/Teknoloji_Ürünleri[[#This Row],[Birim Satış Fiyatı (TL)]])*100)</f>
        <v>22.222222222222221</v>
      </c>
    </row>
    <row r="19" spans="1:10" x14ac:dyDescent="0.25">
      <c r="A19" s="1" t="s">
        <v>17</v>
      </c>
      <c r="B19" s="1" t="s">
        <v>11</v>
      </c>
      <c r="C19" s="1" t="s">
        <v>12</v>
      </c>
      <c r="D19">
        <v>320</v>
      </c>
      <c r="E19" s="3">
        <v>4000</v>
      </c>
      <c r="F19" s="3">
        <v>2000</v>
      </c>
      <c r="G19" s="3">
        <f>(Teknoloji_Ürünleri[[#This Row],[Birim Satış Fiyatı (TL)]]*Teknoloji_Ürünleri[[#This Row],[Satış Adedi]])</f>
        <v>1280000</v>
      </c>
      <c r="H19" s="3">
        <f>(Teknoloji_Ürünleri[[#This Row],[Birim Maliyet (TL)]]*Teknoloji_Ürünleri[[#This Row],[Satış Adedi]])</f>
        <v>640000</v>
      </c>
      <c r="I19" s="3">
        <f>((Teknoloji_Ürünleri[[#This Row],[Birim Satış Fiyatı (TL)]]-Teknoloji_Ürünleri[[#This Row],[Birim Maliyet (TL)]])*Teknoloji_Ürünleri[[#This Row],[Satış Adedi]])</f>
        <v>640000</v>
      </c>
      <c r="J19">
        <f>(((Teknoloji_Ürünleri[[#This Row],[Birim Satış Fiyatı (TL)]]-Teknoloji_Ürünleri[[#This Row],[Birim Maliyet (TL)]])/Teknoloji_Ürünleri[[#This Row],[Birim Satış Fiyatı (TL)]])*100)</f>
        <v>50</v>
      </c>
    </row>
    <row r="20" spans="1:10" x14ac:dyDescent="0.25">
      <c r="A20" s="1"/>
      <c r="B20" s="1"/>
      <c r="C20" s="1"/>
      <c r="E20" s="3"/>
      <c r="F20" s="3"/>
      <c r="G20" s="3"/>
      <c r="H20" s="3">
        <f>(Teknoloji_Ürünleri[[#This Row],[Birim Maliyet (TL)]]*Teknoloji_Ürünleri[[#This Row],[Satış Adedi]])</f>
        <v>0</v>
      </c>
      <c r="I20" s="3">
        <f>((Teknoloji_Ürünleri[[#This Row],[Birim Satış Fiyatı (TL)]]-Teknoloji_Ürünleri[[#This Row],[Birim Maliyet (TL)]])*Teknoloji_Ürünleri[[#This Row],[Satış Adedi]])</f>
        <v>0</v>
      </c>
      <c r="J20" s="1"/>
    </row>
    <row r="22" spans="1:10" x14ac:dyDescent="0.25">
      <c r="G22" s="6">
        <f>SUM(G2:G19)</f>
        <v>62364000</v>
      </c>
      <c r="H22" s="6">
        <f>SUM(H2:H19)</f>
        <v>44798000</v>
      </c>
      <c r="I22" s="6">
        <f>SUM(I2:I19)</f>
        <v>17566000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3072-AF01-4E81-B077-1A0F84AAF075}">
  <dimension ref="A1:E129"/>
  <sheetViews>
    <sheetView workbookViewId="0">
      <selection activeCell="A10" sqref="A10"/>
    </sheetView>
  </sheetViews>
  <sheetFormatPr defaultRowHeight="15" x14ac:dyDescent="0.25"/>
  <cols>
    <col min="1" max="1" width="24" bestFit="1" customWidth="1"/>
    <col min="2" max="2" width="17.42578125" bestFit="1" customWidth="1"/>
    <col min="3" max="3" width="10" bestFit="1" customWidth="1"/>
    <col min="4" max="4" width="11" bestFit="1" customWidth="1"/>
    <col min="5" max="5" width="13.5703125" bestFit="1" customWidth="1"/>
    <col min="6" max="6" width="18.28515625" bestFit="1" customWidth="1"/>
    <col min="7" max="7" width="24" bestFit="1" customWidth="1"/>
    <col min="8" max="8" width="26.140625" bestFit="1" customWidth="1"/>
    <col min="9" max="9" width="31.85546875" bestFit="1" customWidth="1"/>
  </cols>
  <sheetData>
    <row r="1" spans="1:5" x14ac:dyDescent="0.25">
      <c r="A1" s="4" t="s">
        <v>22</v>
      </c>
      <c r="B1" t="s">
        <v>24</v>
      </c>
      <c r="C1" t="s">
        <v>25</v>
      </c>
      <c r="D1" t="s">
        <v>26</v>
      </c>
    </row>
    <row r="2" spans="1:5" x14ac:dyDescent="0.25">
      <c r="A2" s="5" t="s">
        <v>6</v>
      </c>
      <c r="B2" s="6">
        <v>9060000</v>
      </c>
      <c r="C2" s="6">
        <v>6558000</v>
      </c>
      <c r="D2" s="6">
        <v>2502000</v>
      </c>
    </row>
    <row r="3" spans="1:5" x14ac:dyDescent="0.25">
      <c r="A3" s="5" t="s">
        <v>13</v>
      </c>
      <c r="B3" s="6">
        <v>9625000</v>
      </c>
      <c r="C3" s="6">
        <v>6940000</v>
      </c>
      <c r="D3" s="6">
        <v>2685000</v>
      </c>
    </row>
    <row r="4" spans="1:5" x14ac:dyDescent="0.25">
      <c r="A4" s="5" t="s">
        <v>14</v>
      </c>
      <c r="B4" s="6">
        <v>9805000</v>
      </c>
      <c r="C4" s="6">
        <v>7270000</v>
      </c>
      <c r="D4" s="6">
        <v>2535000</v>
      </c>
    </row>
    <row r="5" spans="1:5" x14ac:dyDescent="0.25">
      <c r="A5" s="5" t="s">
        <v>15</v>
      </c>
      <c r="B5" s="6">
        <v>8360000</v>
      </c>
      <c r="C5" s="6">
        <v>5850000</v>
      </c>
      <c r="D5" s="6">
        <v>2510000</v>
      </c>
    </row>
    <row r="6" spans="1:5" x14ac:dyDescent="0.25">
      <c r="A6" s="5" t="s">
        <v>16</v>
      </c>
      <c r="B6" s="6">
        <v>13484000</v>
      </c>
      <c r="C6" s="6">
        <v>9800000</v>
      </c>
      <c r="D6" s="6">
        <v>3684000</v>
      </c>
    </row>
    <row r="7" spans="1:5" x14ac:dyDescent="0.25">
      <c r="A7" s="5" t="s">
        <v>17</v>
      </c>
      <c r="B7" s="6">
        <v>12030000</v>
      </c>
      <c r="C7" s="6">
        <v>8380000</v>
      </c>
      <c r="D7" s="6">
        <v>3650000</v>
      </c>
    </row>
    <row r="8" spans="1:5" x14ac:dyDescent="0.25">
      <c r="A8" s="5" t="s">
        <v>23</v>
      </c>
      <c r="B8" s="6">
        <v>62364000</v>
      </c>
      <c r="C8" s="6">
        <v>44798000</v>
      </c>
      <c r="D8" s="6">
        <v>17566000</v>
      </c>
    </row>
    <row r="10" spans="1:5" x14ac:dyDescent="0.25">
      <c r="A10" s="4" t="s">
        <v>27</v>
      </c>
      <c r="B10" s="4" t="s">
        <v>29</v>
      </c>
    </row>
    <row r="11" spans="1:5" x14ac:dyDescent="0.25">
      <c r="A11" s="4" t="s">
        <v>22</v>
      </c>
      <c r="B11" t="s">
        <v>10</v>
      </c>
      <c r="C11" t="s">
        <v>12</v>
      </c>
      <c r="D11" t="s">
        <v>8</v>
      </c>
      <c r="E11" t="s">
        <v>23</v>
      </c>
    </row>
    <row r="12" spans="1:5" x14ac:dyDescent="0.25">
      <c r="A12" s="5" t="s">
        <v>6</v>
      </c>
      <c r="B12" s="6">
        <v>65000</v>
      </c>
      <c r="C12" s="6">
        <v>3500</v>
      </c>
      <c r="D12" s="6">
        <v>45000</v>
      </c>
      <c r="E12" s="6">
        <v>113500</v>
      </c>
    </row>
    <row r="13" spans="1:5" x14ac:dyDescent="0.25">
      <c r="A13" s="5" t="s">
        <v>13</v>
      </c>
      <c r="B13" s="6">
        <v>65000</v>
      </c>
      <c r="C13" s="6">
        <v>3500</v>
      </c>
      <c r="D13" s="6">
        <v>45000</v>
      </c>
      <c r="E13" s="6">
        <v>113500</v>
      </c>
    </row>
    <row r="14" spans="1:5" x14ac:dyDescent="0.25">
      <c r="A14" s="5" t="s">
        <v>14</v>
      </c>
      <c r="B14" s="6">
        <v>65000</v>
      </c>
      <c r="C14" s="6">
        <v>3800</v>
      </c>
      <c r="D14" s="6">
        <v>48000</v>
      </c>
      <c r="E14" s="6">
        <v>116800</v>
      </c>
    </row>
    <row r="15" spans="1:5" x14ac:dyDescent="0.25">
      <c r="A15" s="5" t="s">
        <v>15</v>
      </c>
      <c r="B15" s="6">
        <v>68000</v>
      </c>
      <c r="C15" s="6">
        <v>3200</v>
      </c>
      <c r="D15" s="6">
        <v>52000</v>
      </c>
      <c r="E15" s="6">
        <v>123200</v>
      </c>
    </row>
    <row r="16" spans="1:5" x14ac:dyDescent="0.25">
      <c r="A16" s="5" t="s">
        <v>16</v>
      </c>
      <c r="B16" s="6">
        <v>68000</v>
      </c>
      <c r="C16" s="6">
        <v>3800</v>
      </c>
      <c r="D16" s="6">
        <v>50000</v>
      </c>
      <c r="E16" s="6">
        <v>121800</v>
      </c>
    </row>
    <row r="17" spans="1:5" x14ac:dyDescent="0.25">
      <c r="A17" s="5" t="s">
        <v>17</v>
      </c>
      <c r="B17" s="6">
        <v>72000</v>
      </c>
      <c r="C17" s="6">
        <v>4000</v>
      </c>
      <c r="D17" s="6">
        <v>55000</v>
      </c>
      <c r="E17" s="6">
        <v>131000</v>
      </c>
    </row>
    <row r="18" spans="1:5" x14ac:dyDescent="0.25">
      <c r="A18" s="5" t="s">
        <v>23</v>
      </c>
      <c r="B18" s="6">
        <v>403000</v>
      </c>
      <c r="C18" s="6">
        <v>21800</v>
      </c>
      <c r="D18" s="6">
        <v>295000</v>
      </c>
      <c r="E18" s="6">
        <v>719800</v>
      </c>
    </row>
    <row r="37" spans="1:5" x14ac:dyDescent="0.25">
      <c r="A37" s="4" t="s">
        <v>31</v>
      </c>
      <c r="B37" s="4" t="s">
        <v>29</v>
      </c>
    </row>
    <row r="38" spans="1:5" x14ac:dyDescent="0.25">
      <c r="A38" s="4" t="s">
        <v>22</v>
      </c>
      <c r="B38" t="s">
        <v>10</v>
      </c>
      <c r="C38" t="s">
        <v>12</v>
      </c>
      <c r="D38" t="s">
        <v>8</v>
      </c>
      <c r="E38" t="s">
        <v>23</v>
      </c>
    </row>
    <row r="39" spans="1:5" x14ac:dyDescent="0.25">
      <c r="A39" s="5" t="s">
        <v>6</v>
      </c>
      <c r="B39" s="1">
        <v>45</v>
      </c>
      <c r="C39" s="1">
        <v>210</v>
      </c>
      <c r="D39" s="1">
        <v>120</v>
      </c>
      <c r="E39" s="1">
        <v>375</v>
      </c>
    </row>
    <row r="40" spans="1:5" x14ac:dyDescent="0.25">
      <c r="A40" s="5" t="s">
        <v>13</v>
      </c>
      <c r="B40" s="1">
        <v>38</v>
      </c>
      <c r="C40" s="1">
        <v>180</v>
      </c>
      <c r="D40" s="1">
        <v>145</v>
      </c>
      <c r="E40" s="1">
        <v>363</v>
      </c>
    </row>
    <row r="41" spans="1:5" x14ac:dyDescent="0.25">
      <c r="A41" s="5" t="s">
        <v>14</v>
      </c>
      <c r="B41" s="1">
        <v>55</v>
      </c>
      <c r="C41" s="1">
        <v>250</v>
      </c>
      <c r="D41" s="1">
        <v>110</v>
      </c>
      <c r="E41" s="1">
        <v>415</v>
      </c>
    </row>
    <row r="42" spans="1:5" x14ac:dyDescent="0.25">
      <c r="A42" s="5" t="s">
        <v>15</v>
      </c>
      <c r="B42" s="1">
        <v>40</v>
      </c>
      <c r="C42" s="1">
        <v>300</v>
      </c>
      <c r="D42" s="1">
        <v>90</v>
      </c>
      <c r="E42" s="1">
        <v>430</v>
      </c>
    </row>
    <row r="43" spans="1:5" x14ac:dyDescent="0.25">
      <c r="A43" s="5" t="s">
        <v>16</v>
      </c>
      <c r="B43" s="1">
        <v>65</v>
      </c>
      <c r="C43" s="1">
        <v>280</v>
      </c>
      <c r="D43" s="1">
        <v>160</v>
      </c>
      <c r="E43" s="1">
        <v>505</v>
      </c>
    </row>
    <row r="44" spans="1:5" x14ac:dyDescent="0.25">
      <c r="A44" s="5" t="s">
        <v>17</v>
      </c>
      <c r="B44" s="1">
        <v>50</v>
      </c>
      <c r="C44" s="1">
        <v>320</v>
      </c>
      <c r="D44" s="1">
        <v>130</v>
      </c>
      <c r="E44" s="1">
        <v>500</v>
      </c>
    </row>
    <row r="45" spans="1:5" x14ac:dyDescent="0.25">
      <c r="A45" s="5" t="s">
        <v>23</v>
      </c>
      <c r="B45" s="1">
        <v>293</v>
      </c>
      <c r="C45" s="1">
        <v>1540</v>
      </c>
      <c r="D45" s="1">
        <v>755</v>
      </c>
      <c r="E45" s="1">
        <v>2588</v>
      </c>
    </row>
    <row r="47" spans="1:5" x14ac:dyDescent="0.25">
      <c r="A47" s="4" t="s">
        <v>28</v>
      </c>
      <c r="B47" s="4" t="s">
        <v>29</v>
      </c>
    </row>
    <row r="48" spans="1:5" x14ac:dyDescent="0.25">
      <c r="A48" s="4" t="s">
        <v>22</v>
      </c>
      <c r="B48" t="s">
        <v>10</v>
      </c>
      <c r="C48" t="s">
        <v>12</v>
      </c>
      <c r="D48" t="s">
        <v>8</v>
      </c>
      <c r="E48" t="s">
        <v>23</v>
      </c>
    </row>
    <row r="49" spans="1:5" x14ac:dyDescent="0.25">
      <c r="A49" s="5" t="s">
        <v>6</v>
      </c>
      <c r="B49" s="6">
        <v>52000</v>
      </c>
      <c r="C49" s="6">
        <v>1800</v>
      </c>
      <c r="D49" s="6">
        <v>32000</v>
      </c>
      <c r="E49" s="6">
        <v>85800</v>
      </c>
    </row>
    <row r="50" spans="1:5" x14ac:dyDescent="0.25">
      <c r="A50" s="5" t="s">
        <v>13</v>
      </c>
      <c r="B50" s="6">
        <v>52000</v>
      </c>
      <c r="C50" s="6">
        <v>1800</v>
      </c>
      <c r="D50" s="6">
        <v>32000</v>
      </c>
      <c r="E50" s="6">
        <v>85800</v>
      </c>
    </row>
    <row r="51" spans="1:5" x14ac:dyDescent="0.25">
      <c r="A51" s="5" t="s">
        <v>14</v>
      </c>
      <c r="B51" s="6">
        <v>54000</v>
      </c>
      <c r="C51" s="6">
        <v>1800</v>
      </c>
      <c r="D51" s="6">
        <v>35000</v>
      </c>
      <c r="E51" s="6">
        <v>90800</v>
      </c>
    </row>
    <row r="52" spans="1:5" x14ac:dyDescent="0.25">
      <c r="A52" s="5" t="s">
        <v>15</v>
      </c>
      <c r="B52" s="6">
        <v>54000</v>
      </c>
      <c r="C52" s="6">
        <v>1800</v>
      </c>
      <c r="D52" s="6">
        <v>35000</v>
      </c>
      <c r="E52" s="6">
        <v>90800</v>
      </c>
    </row>
    <row r="53" spans="1:5" x14ac:dyDescent="0.25">
      <c r="A53" s="5" t="s">
        <v>16</v>
      </c>
      <c r="B53" s="6">
        <v>56000</v>
      </c>
      <c r="C53" s="6">
        <v>2000</v>
      </c>
      <c r="D53" s="6">
        <v>35000</v>
      </c>
      <c r="E53" s="6">
        <v>93000</v>
      </c>
    </row>
    <row r="54" spans="1:5" x14ac:dyDescent="0.25">
      <c r="A54" s="5" t="s">
        <v>17</v>
      </c>
      <c r="B54" s="6">
        <v>56000</v>
      </c>
      <c r="C54" s="6">
        <v>2000</v>
      </c>
      <c r="D54" s="6">
        <v>38000</v>
      </c>
      <c r="E54" s="6">
        <v>96000</v>
      </c>
    </row>
    <row r="55" spans="1:5" x14ac:dyDescent="0.25">
      <c r="A55" s="5" t="s">
        <v>23</v>
      </c>
      <c r="B55" s="6">
        <v>324000</v>
      </c>
      <c r="C55" s="6">
        <v>11200</v>
      </c>
      <c r="D55" s="6">
        <v>207000</v>
      </c>
      <c r="E55" s="6">
        <v>542200</v>
      </c>
    </row>
    <row r="109" spans="1:3" x14ac:dyDescent="0.25">
      <c r="A109" s="4" t="s">
        <v>22</v>
      </c>
      <c r="B109" t="s">
        <v>24</v>
      </c>
      <c r="C109" t="s">
        <v>25</v>
      </c>
    </row>
    <row r="110" spans="1:3" x14ac:dyDescent="0.25">
      <c r="A110" s="5" t="s">
        <v>12</v>
      </c>
      <c r="B110" s="6">
        <v>5619000</v>
      </c>
      <c r="C110" s="6">
        <v>2892000</v>
      </c>
    </row>
    <row r="111" spans="1:3" x14ac:dyDescent="0.25">
      <c r="A111" s="5" t="s">
        <v>10</v>
      </c>
      <c r="B111" s="6">
        <v>19710000</v>
      </c>
      <c r="C111" s="6">
        <v>15886000</v>
      </c>
    </row>
    <row r="112" spans="1:3" x14ac:dyDescent="0.25">
      <c r="A112" s="5" t="s">
        <v>8</v>
      </c>
      <c r="B112" s="6">
        <v>37035000</v>
      </c>
      <c r="C112" s="6">
        <v>26020000</v>
      </c>
    </row>
    <row r="113" spans="1:5" x14ac:dyDescent="0.25">
      <c r="A113" s="5" t="s">
        <v>23</v>
      </c>
      <c r="B113" s="6">
        <v>62364000</v>
      </c>
      <c r="C113" s="6">
        <v>44798000</v>
      </c>
    </row>
    <row r="115" spans="1:5" x14ac:dyDescent="0.25">
      <c r="A115" s="4" t="s">
        <v>22</v>
      </c>
      <c r="B115" t="s">
        <v>26</v>
      </c>
    </row>
    <row r="116" spans="1:5" x14ac:dyDescent="0.25">
      <c r="A116" s="5" t="s">
        <v>8</v>
      </c>
      <c r="B116" s="6">
        <v>11015000</v>
      </c>
    </row>
    <row r="117" spans="1:5" x14ac:dyDescent="0.25">
      <c r="A117" s="5" t="s">
        <v>10</v>
      </c>
      <c r="B117" s="6">
        <v>3824000</v>
      </c>
    </row>
    <row r="118" spans="1:5" x14ac:dyDescent="0.25">
      <c r="A118" s="5" t="s">
        <v>12</v>
      </c>
      <c r="B118" s="6">
        <v>2727000</v>
      </c>
    </row>
    <row r="119" spans="1:5" x14ac:dyDescent="0.25">
      <c r="A119" s="5" t="s">
        <v>23</v>
      </c>
      <c r="B119" s="6">
        <v>17566000</v>
      </c>
    </row>
    <row r="121" spans="1:5" x14ac:dyDescent="0.25">
      <c r="A121" s="4" t="s">
        <v>30</v>
      </c>
      <c r="B121" s="4" t="s">
        <v>29</v>
      </c>
    </row>
    <row r="122" spans="1:5" x14ac:dyDescent="0.25">
      <c r="A122" s="4" t="s">
        <v>22</v>
      </c>
      <c r="B122" t="s">
        <v>10</v>
      </c>
      <c r="C122" t="s">
        <v>12</v>
      </c>
      <c r="D122" t="s">
        <v>8</v>
      </c>
      <c r="E122" t="s">
        <v>23</v>
      </c>
    </row>
    <row r="123" spans="1:5" x14ac:dyDescent="0.25">
      <c r="A123" s="5" t="s">
        <v>6</v>
      </c>
      <c r="B123" s="1">
        <v>20</v>
      </c>
      <c r="C123" s="2">
        <v>48.571428571428569</v>
      </c>
      <c r="D123" s="2">
        <v>28.888888888888886</v>
      </c>
      <c r="E123" s="8">
        <v>97.460317460317455</v>
      </c>
    </row>
    <row r="124" spans="1:5" x14ac:dyDescent="0.25">
      <c r="A124" s="5" t="s">
        <v>13</v>
      </c>
      <c r="B124" s="1">
        <v>20</v>
      </c>
      <c r="C124" s="2">
        <v>48.571428571428569</v>
      </c>
      <c r="D124" s="2">
        <v>28.888888888888886</v>
      </c>
      <c r="E124" s="8">
        <v>97.460317460317455</v>
      </c>
    </row>
    <row r="125" spans="1:5" x14ac:dyDescent="0.25">
      <c r="A125" s="5" t="s">
        <v>14</v>
      </c>
      <c r="B125" s="2">
        <v>16.923076923076923</v>
      </c>
      <c r="C125" s="2">
        <v>52.631578947368418</v>
      </c>
      <c r="D125" s="2">
        <v>27.083333333333332</v>
      </c>
      <c r="E125" s="1">
        <v>96.637989203778673</v>
      </c>
    </row>
    <row r="126" spans="1:5" x14ac:dyDescent="0.25">
      <c r="A126" s="5" t="s">
        <v>15</v>
      </c>
      <c r="B126" s="2">
        <v>20.588235294117645</v>
      </c>
      <c r="C126" s="1">
        <v>43.75</v>
      </c>
      <c r="D126" s="2">
        <v>32.692307692307693</v>
      </c>
      <c r="E126" s="1">
        <v>97.030542986425345</v>
      </c>
    </row>
    <row r="127" spans="1:5" x14ac:dyDescent="0.25">
      <c r="A127" s="5" t="s">
        <v>16</v>
      </c>
      <c r="B127" s="2">
        <v>17.647058823529413</v>
      </c>
      <c r="C127" s="2">
        <v>47.368421052631575</v>
      </c>
      <c r="D127" s="1">
        <v>30</v>
      </c>
      <c r="E127" s="1">
        <v>95.015479876160981</v>
      </c>
    </row>
    <row r="128" spans="1:5" x14ac:dyDescent="0.25">
      <c r="A128" s="5" t="s">
        <v>17</v>
      </c>
      <c r="B128" s="2">
        <v>22.222222222222221</v>
      </c>
      <c r="C128" s="1">
        <v>50</v>
      </c>
      <c r="D128" s="2">
        <v>30.909090909090907</v>
      </c>
      <c r="E128" s="1">
        <v>103.13131313131314</v>
      </c>
    </row>
    <row r="129" spans="1:5" x14ac:dyDescent="0.25">
      <c r="A129" s="5" t="s">
        <v>23</v>
      </c>
      <c r="B129" s="1">
        <v>117.38059326294621</v>
      </c>
      <c r="C129" s="1">
        <v>290.89285714285711</v>
      </c>
      <c r="D129" s="1">
        <v>178.4625097125097</v>
      </c>
      <c r="E129" s="1">
        <v>586.73596011831307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E5C3-0D24-4360-B26D-B28A1BF26ABE}">
  <dimension ref="A1"/>
  <sheetViews>
    <sheetView showGridLines="0" tabSelected="1" workbookViewId="0">
      <selection activeCell="AF10" sqref="AF10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EBA3EC-A233-433C-8339-DAE7945F5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Teknoloji Ürünleri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DENIZ KAN</dc:creator>
  <cp:lastModifiedBy>JASMIN DENIZ KAN</cp:lastModifiedBy>
  <dcterms:created xsi:type="dcterms:W3CDTF">2026-02-10T12:46:36Z</dcterms:created>
  <dcterms:modified xsi:type="dcterms:W3CDTF">2026-02-10T17:38:12Z</dcterms:modified>
</cp:coreProperties>
</file>