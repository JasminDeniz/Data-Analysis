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Ex1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Casper\Documents\Github Dashboard\"/>
    </mc:Choice>
  </mc:AlternateContent>
  <xr:revisionPtr revIDLastSave="0" documentId="13_ncr:1_{38412313-3C30-46F2-A86E-BAF4A13DC493}" xr6:coauthVersionLast="47" xr6:coauthVersionMax="47" xr10:uidLastSave="{00000000-0000-0000-0000-000000000000}"/>
  <bookViews>
    <workbookView xWindow="-120" yWindow="-120" windowWidth="20730" windowHeight="11160" firstSheet="2" activeTab="7" xr2:uid="{D54C38F1-ED6B-47B0-9EC2-FBE75AC83768}"/>
  </bookViews>
  <sheets>
    <sheet name="ana tablo" sheetId="1" r:id="rId1"/>
    <sheet name="yan tablo" sheetId="12" r:id="rId2"/>
    <sheet name="gelir" sheetId="6" r:id="rId3"/>
    <sheet name="toplam maliyet" sheetId="8" r:id="rId4"/>
    <sheet name="kar" sheetId="9" r:id="rId5"/>
    <sheet name="kar marjı" sheetId="10" r:id="rId6"/>
    <sheet name="pivot" sheetId="5" r:id="rId7"/>
    <sheet name="dashboard" sheetId="7" r:id="rId8"/>
  </sheets>
  <definedNames>
    <definedName name="_xlnm._FilterDatabase" localSheetId="0" hidden="1">'ana tablo'!$A$1:$H$11</definedName>
    <definedName name="_xlchart.v1.0" hidden="1">gelir!$A$20:$A$23</definedName>
    <definedName name="_xlchart.v1.1" hidden="1">gelir!$B$20:$B$23</definedName>
  </definedNames>
  <calcPr calcId="191029"/>
  <pivotCaches>
    <pivotCache cacheId="0" r:id="rId9"/>
    <pivotCache cacheId="1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12" l="1"/>
  <c r="F9" i="12"/>
  <c r="F8" i="12"/>
  <c r="F7" i="12"/>
  <c r="F6" i="12"/>
  <c r="F5" i="12"/>
  <c r="F3" i="12"/>
  <c r="F4" i="12"/>
  <c r="F2" i="12"/>
  <c r="E3" i="12"/>
  <c r="E4" i="12"/>
  <c r="E5" i="12"/>
  <c r="E6" i="12"/>
  <c r="E7" i="12"/>
  <c r="E8" i="12"/>
  <c r="E9" i="12"/>
  <c r="E10" i="12"/>
  <c r="E2" i="12"/>
</calcChain>
</file>

<file path=xl/sharedStrings.xml><?xml version="1.0" encoding="utf-8"?>
<sst xmlns="http://schemas.openxmlformats.org/spreadsheetml/2006/main" count="199" uniqueCount="41">
  <si>
    <t>Tarih</t>
  </si>
  <si>
    <t>Şehir</t>
  </si>
  <si>
    <t>Şube Adı</t>
  </si>
  <si>
    <t>Ürün Cinsi</t>
  </si>
  <si>
    <t>Satılan Adet</t>
  </si>
  <si>
    <t>Birim Satış (TL)</t>
  </si>
  <si>
    <t>Birim Maliyet (TL)</t>
  </si>
  <si>
    <t>Operasyonel Gider (TL)</t>
  </si>
  <si>
    <t>İstanbul</t>
  </si>
  <si>
    <t>Kadıköy</t>
  </si>
  <si>
    <t>Elektronik</t>
  </si>
  <si>
    <t>Ankara</t>
  </si>
  <si>
    <t>Çankaya</t>
  </si>
  <si>
    <t>Mobilya</t>
  </si>
  <si>
    <t>İzmir</t>
  </si>
  <si>
    <t>Konak</t>
  </si>
  <si>
    <t>Tekstil</t>
  </si>
  <si>
    <t>Beşiktaş</t>
  </si>
  <si>
    <t>Bursa</t>
  </si>
  <si>
    <t>Nilüfer</t>
  </si>
  <si>
    <t>Gıda</t>
  </si>
  <si>
    <t>Satır Etiketleri</t>
  </si>
  <si>
    <t>Genel Toplam</t>
  </si>
  <si>
    <t>Toplam Satılan Adet</t>
  </si>
  <si>
    <t xml:space="preserve">Bursa </t>
  </si>
  <si>
    <t>Gelir</t>
  </si>
  <si>
    <t xml:space="preserve">İstanbul </t>
  </si>
  <si>
    <t>Şubelere Göre Gelir</t>
  </si>
  <si>
    <t>Kar</t>
  </si>
  <si>
    <t>kar marjı</t>
  </si>
  <si>
    <t>Sütun Etiketleri</t>
  </si>
  <si>
    <t>Sütun1</t>
  </si>
  <si>
    <t>Kar Marjı</t>
  </si>
  <si>
    <t xml:space="preserve">Mobilya </t>
  </si>
  <si>
    <t>Gelir (TL)</t>
  </si>
  <si>
    <t>Maliyet (TL)</t>
  </si>
  <si>
    <t>Toplam Gelir (TL)</t>
  </si>
  <si>
    <t>Toplam Maliyet (TL)</t>
  </si>
  <si>
    <t>Toplam Kar</t>
  </si>
  <si>
    <t>Toplam Kar Marjı</t>
  </si>
  <si>
    <t>Say Ürün Cinsi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</si>
</sst>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62"/>
      <scheme val="minor"/>
    </font>
    <font>
      <sz val="10"/>
      <color theme="1"/>
      <name val="Arial"/>
      <family val="2"/>
      <charset val="162"/>
    </font>
  </fonts>
  <fills count="3">
    <fill>
      <patternFill patternType="none"/>
    </fill>
    <fill>
      <patternFill patternType="gray125"/>
    </fill>
    <fill>
      <patternFill patternType="solid">
        <fgColor rgb="FFE6FEFC"/>
        <bgColor indexed="64"/>
      </patternFill>
    </fill>
  </fills>
  <borders count="7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thin">
        <color indexed="64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1" xfId="0" applyFont="1" applyBorder="1"/>
    <xf numFmtId="14" fontId="1" fillId="0" borderId="1" xfId="0" applyNumberFormat="1" applyFont="1" applyBorder="1" applyAlignment="1">
      <alignment horizontal="right"/>
    </xf>
    <xf numFmtId="0" fontId="1" fillId="0" borderId="1" xfId="0" applyFont="1" applyBorder="1" applyAlignment="1">
      <alignment horizontal="right"/>
    </xf>
    <xf numFmtId="3" fontId="1" fillId="0" borderId="1" xfId="0" applyNumberFormat="1" applyFont="1" applyBorder="1" applyAlignment="1">
      <alignment horizontal="right"/>
    </xf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/>
    <xf numFmtId="14" fontId="0" fillId="0" borderId="0" xfId="0" applyNumberFormat="1" applyAlignment="1">
      <alignment horizontal="left"/>
    </xf>
    <xf numFmtId="0" fontId="1" fillId="0" borderId="3" xfId="0" applyFont="1" applyBorder="1"/>
    <xf numFmtId="0" fontId="1" fillId="0" borderId="2" xfId="0" applyFont="1" applyBorder="1"/>
    <xf numFmtId="0" fontId="0" fillId="0" borderId="4" xfId="0" applyBorder="1"/>
    <xf numFmtId="3" fontId="1" fillId="0" borderId="5" xfId="0" applyNumberFormat="1" applyFont="1" applyBorder="1" applyAlignment="1">
      <alignment horizontal="right"/>
    </xf>
    <xf numFmtId="0" fontId="1" fillId="0" borderId="5" xfId="0" applyFont="1" applyBorder="1" applyAlignment="1">
      <alignment horizontal="right"/>
    </xf>
    <xf numFmtId="14" fontId="1" fillId="0" borderId="6" xfId="0" applyNumberFormat="1" applyFont="1" applyBorder="1" applyAlignment="1">
      <alignment horizontal="right"/>
    </xf>
    <xf numFmtId="0" fontId="1" fillId="0" borderId="6" xfId="0" applyFont="1" applyBorder="1"/>
    <xf numFmtId="0" fontId="1" fillId="0" borderId="6" xfId="0" applyFont="1" applyBorder="1" applyAlignment="1">
      <alignment horizontal="right"/>
    </xf>
    <xf numFmtId="2" fontId="0" fillId="0" borderId="0" xfId="0" applyNumberFormat="1"/>
    <xf numFmtId="0" fontId="0" fillId="2" borderId="0" xfId="0" applyFill="1"/>
  </cellXfs>
  <cellStyles count="1">
    <cellStyle name="Normal" xfId="0" builtinId="0"/>
  </cellStyles>
  <dxfs count="13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62"/>
        <scheme val="none"/>
      </font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right style="medium">
          <color rgb="FFCCCCCC"/>
        </right>
        <bottom style="medium">
          <color rgb="FFCCCCCC"/>
        </bottom>
      </border>
    </dxf>
  </dxfs>
  <tableStyles count="0" defaultTableStyle="TableStyleMedium2" defaultPivotStyle="PivotStyleLight16"/>
  <colors>
    <mruColors>
      <color rgb="FFE6FEFC"/>
      <color rgb="FFE0ECF8"/>
      <color rgb="FF90E4C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[tamamlanan şehir tablosu.xlsx]pivot!PivotTable6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/>
              <a:t>Şehir</a:t>
            </a:r>
            <a:r>
              <a:rPr lang="tr-TR" baseline="0"/>
              <a:t> ve Ürün Cinsine Göre Satış Adetleri</a:t>
            </a:r>
            <a:endParaRPr lang="tr-T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pivot!$B$9:$B$10</c:f>
              <c:strCache>
                <c:ptCount val="1"/>
                <c:pt idx="0">
                  <c:v>Elektronik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pivot!$A$11:$A$15</c:f>
              <c:strCache>
                <c:ptCount val="4"/>
                <c:pt idx="0">
                  <c:v>Ankara</c:v>
                </c:pt>
                <c:pt idx="1">
                  <c:v>Bursa</c:v>
                </c:pt>
                <c:pt idx="2">
                  <c:v>İstanbul</c:v>
                </c:pt>
                <c:pt idx="3">
                  <c:v>İzmir</c:v>
                </c:pt>
              </c:strCache>
            </c:strRef>
          </c:cat>
          <c:val>
            <c:numRef>
              <c:f>pivot!$B$11:$B$15</c:f>
              <c:numCache>
                <c:formatCode>General</c:formatCode>
                <c:ptCount val="4"/>
                <c:pt idx="2">
                  <c:v>75</c:v>
                </c:pt>
                <c:pt idx="3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7E-452B-AF9F-A879405DF286}"/>
            </c:ext>
          </c:extLst>
        </c:ser>
        <c:ser>
          <c:idx val="1"/>
          <c:order val="1"/>
          <c:tx>
            <c:strRef>
              <c:f>pivot!$C$9:$C$10</c:f>
              <c:strCache>
                <c:ptCount val="1"/>
                <c:pt idx="0">
                  <c:v>Gıda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pivot!$A$11:$A$15</c:f>
              <c:strCache>
                <c:ptCount val="4"/>
                <c:pt idx="0">
                  <c:v>Ankara</c:v>
                </c:pt>
                <c:pt idx="1">
                  <c:v>Bursa</c:v>
                </c:pt>
                <c:pt idx="2">
                  <c:v>İstanbul</c:v>
                </c:pt>
                <c:pt idx="3">
                  <c:v>İzmir</c:v>
                </c:pt>
              </c:strCache>
            </c:strRef>
          </c:cat>
          <c:val>
            <c:numRef>
              <c:f>pivot!$C$11:$C$15</c:f>
              <c:numCache>
                <c:formatCode>General</c:formatCode>
                <c:ptCount val="4"/>
                <c:pt idx="1">
                  <c:v>210</c:v>
                </c:pt>
                <c:pt idx="2">
                  <c:v>340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E7E-452B-AF9F-A879405DF286}"/>
            </c:ext>
          </c:extLst>
        </c:ser>
        <c:ser>
          <c:idx val="2"/>
          <c:order val="2"/>
          <c:tx>
            <c:strRef>
              <c:f>pivot!$D$9:$D$10</c:f>
              <c:strCache>
                <c:ptCount val="1"/>
                <c:pt idx="0">
                  <c:v>Mobilya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pivot!$A$11:$A$15</c:f>
              <c:strCache>
                <c:ptCount val="4"/>
                <c:pt idx="0">
                  <c:v>Ankara</c:v>
                </c:pt>
                <c:pt idx="1">
                  <c:v>Bursa</c:v>
                </c:pt>
                <c:pt idx="2">
                  <c:v>İstanbul</c:v>
                </c:pt>
                <c:pt idx="3">
                  <c:v>İzmir</c:v>
                </c:pt>
              </c:strCache>
            </c:strRef>
          </c:cat>
          <c:val>
            <c:numRef>
              <c:f>pivot!$D$11:$D$15</c:f>
              <c:numCache>
                <c:formatCode>General</c:formatCode>
                <c:ptCount val="4"/>
                <c:pt idx="0">
                  <c:v>12</c:v>
                </c:pt>
                <c:pt idx="2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E7E-452B-AF9F-A879405DF286}"/>
            </c:ext>
          </c:extLst>
        </c:ser>
        <c:ser>
          <c:idx val="3"/>
          <c:order val="3"/>
          <c:tx>
            <c:strRef>
              <c:f>pivot!$E$9:$E$10</c:f>
              <c:strCache>
                <c:ptCount val="1"/>
                <c:pt idx="0">
                  <c:v>Tekstil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pivot!$A$11:$A$15</c:f>
              <c:strCache>
                <c:ptCount val="4"/>
                <c:pt idx="0">
                  <c:v>Ankara</c:v>
                </c:pt>
                <c:pt idx="1">
                  <c:v>Bursa</c:v>
                </c:pt>
                <c:pt idx="2">
                  <c:v>İstanbul</c:v>
                </c:pt>
                <c:pt idx="3">
                  <c:v>İzmir</c:v>
                </c:pt>
              </c:strCache>
            </c:strRef>
          </c:cat>
          <c:val>
            <c:numRef>
              <c:f>pivot!$E$11:$E$15</c:f>
              <c:numCache>
                <c:formatCode>General</c:formatCode>
                <c:ptCount val="4"/>
                <c:pt idx="0">
                  <c:v>60</c:v>
                </c:pt>
                <c:pt idx="1">
                  <c:v>110</c:v>
                </c:pt>
                <c:pt idx="3">
                  <c:v>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E7E-452B-AF9F-A879405DF28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222255104"/>
        <c:axId val="1222259904"/>
      </c:barChart>
      <c:catAx>
        <c:axId val="12222551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222259904"/>
        <c:crosses val="autoZero"/>
        <c:auto val="1"/>
        <c:lblAlgn val="ctr"/>
        <c:lblOffset val="100"/>
        <c:noMultiLvlLbl val="0"/>
      </c:catAx>
      <c:valAx>
        <c:axId val="122225990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222255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[tamamlanan şehir tablosu.xlsx]pivot!PivotTable48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/>
              <a:t>Günlere</a:t>
            </a:r>
            <a:r>
              <a:rPr lang="tr-TR" baseline="0"/>
              <a:t> Göre Toplam Satış Adedi</a:t>
            </a:r>
            <a:endParaRPr lang="tr-T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pivot!$B$55</c:f>
              <c:strCache>
                <c:ptCount val="1"/>
                <c:pt idx="0">
                  <c:v>Toplam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pivot!$A$56:$A$61</c:f>
              <c:strCache>
                <c:ptCount val="5"/>
                <c:pt idx="0">
                  <c:v>1.01.2026</c:v>
                </c:pt>
                <c:pt idx="1">
                  <c:v>2.01.2026</c:v>
                </c:pt>
                <c:pt idx="2">
                  <c:v>3.01.2026</c:v>
                </c:pt>
                <c:pt idx="3">
                  <c:v>4.01.2026</c:v>
                </c:pt>
                <c:pt idx="4">
                  <c:v>5.01.2026</c:v>
                </c:pt>
              </c:strCache>
            </c:strRef>
          </c:cat>
          <c:val>
            <c:numRef>
              <c:f>pivot!$B$56:$B$61</c:f>
              <c:numCache>
                <c:formatCode>General</c:formatCode>
                <c:ptCount val="5"/>
                <c:pt idx="0">
                  <c:v>57</c:v>
                </c:pt>
                <c:pt idx="1">
                  <c:v>115</c:v>
                </c:pt>
                <c:pt idx="2">
                  <c:v>270</c:v>
                </c:pt>
                <c:pt idx="3">
                  <c:v>33</c:v>
                </c:pt>
                <c:pt idx="4">
                  <c:v>450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FE1-4FE7-BD5E-0FDD052785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22242144"/>
        <c:axId val="1222243584"/>
      </c:lineChart>
      <c:catAx>
        <c:axId val="1222242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222243584"/>
        <c:crosses val="autoZero"/>
        <c:auto val="1"/>
        <c:lblAlgn val="ctr"/>
        <c:lblOffset val="100"/>
        <c:noMultiLvlLbl val="0"/>
      </c:catAx>
      <c:valAx>
        <c:axId val="122224358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2222421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[tamamlanan şehir tablosu.xlsx]pivot!PivotTable41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/>
              <a:t>Şehirlerin</a:t>
            </a:r>
            <a:r>
              <a:rPr lang="tr-TR" baseline="0"/>
              <a:t> Toplam Gelir ve Maliyetleri</a:t>
            </a:r>
            <a:endParaRPr lang="tr-T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663403561041356"/>
          <c:y val="0.19436123348017623"/>
          <c:w val="0.55016883024757035"/>
          <c:h val="0.6463537872743880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pivot!$B$17</c:f>
              <c:strCache>
                <c:ptCount val="1"/>
                <c:pt idx="0">
                  <c:v>Toplam Gelir (TL)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pivot!$A$18:$A$22</c:f>
              <c:strCache>
                <c:ptCount val="4"/>
                <c:pt idx="0">
                  <c:v>Ankara</c:v>
                </c:pt>
                <c:pt idx="1">
                  <c:v>Bursa</c:v>
                </c:pt>
                <c:pt idx="2">
                  <c:v>İstanbul</c:v>
                </c:pt>
                <c:pt idx="3">
                  <c:v>İzmir</c:v>
                </c:pt>
              </c:strCache>
            </c:strRef>
          </c:cat>
          <c:val>
            <c:numRef>
              <c:f>pivot!$B$18:$B$22</c:f>
              <c:numCache>
                <c:formatCode>General</c:formatCode>
                <c:ptCount val="4"/>
                <c:pt idx="0">
                  <c:v>93000</c:v>
                </c:pt>
                <c:pt idx="1">
                  <c:v>69200</c:v>
                </c:pt>
                <c:pt idx="2">
                  <c:v>302800</c:v>
                </c:pt>
                <c:pt idx="3">
                  <c:v>108250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1C-4322-8C01-4EEC2A58FD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22287264"/>
        <c:axId val="1222287744"/>
      </c:barChart>
      <c:lineChart>
        <c:grouping val="standard"/>
        <c:varyColors val="0"/>
        <c:ser>
          <c:idx val="1"/>
          <c:order val="1"/>
          <c:tx>
            <c:strRef>
              <c:f>pivot!$C$17</c:f>
              <c:strCache>
                <c:ptCount val="1"/>
                <c:pt idx="0">
                  <c:v>Toplam Maliyet (TL)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pivot!$A$18:$A$22</c:f>
              <c:strCache>
                <c:ptCount val="4"/>
                <c:pt idx="0">
                  <c:v>Ankara</c:v>
                </c:pt>
                <c:pt idx="1">
                  <c:v>Bursa</c:v>
                </c:pt>
                <c:pt idx="2">
                  <c:v>İstanbul</c:v>
                </c:pt>
                <c:pt idx="3">
                  <c:v>İzmir</c:v>
                </c:pt>
              </c:strCache>
            </c:strRef>
          </c:cat>
          <c:val>
            <c:numRef>
              <c:f>pivot!$C$18:$C$22</c:f>
              <c:numCache>
                <c:formatCode>General</c:formatCode>
                <c:ptCount val="4"/>
                <c:pt idx="0">
                  <c:v>60100</c:v>
                </c:pt>
                <c:pt idx="1">
                  <c:v>37050</c:v>
                </c:pt>
                <c:pt idx="2">
                  <c:v>227000</c:v>
                </c:pt>
                <c:pt idx="3">
                  <c:v>70750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11C-4322-8C01-4EEC2A58FD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2266144"/>
        <c:axId val="1222281984"/>
      </c:lineChart>
      <c:catAx>
        <c:axId val="1222287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222287744"/>
        <c:crosses val="autoZero"/>
        <c:auto val="1"/>
        <c:lblAlgn val="ctr"/>
        <c:lblOffset val="100"/>
        <c:noMultiLvlLbl val="0"/>
      </c:catAx>
      <c:valAx>
        <c:axId val="12222877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222287264"/>
        <c:crosses val="autoZero"/>
        <c:crossBetween val="between"/>
      </c:valAx>
      <c:valAx>
        <c:axId val="122228198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222266144"/>
        <c:crosses val="max"/>
        <c:crossBetween val="between"/>
      </c:valAx>
      <c:catAx>
        <c:axId val="122226614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2228198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9743089546239165"/>
          <c:y val="0.28367037820712943"/>
          <c:w val="0.17253907450757844"/>
          <c:h val="0.4038193023228924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[tamamlanan şehir tablosu.xlsx]pivot!PivotTable43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 sz="1400"/>
              <a:t>Şehirlerin</a:t>
            </a:r>
            <a:r>
              <a:rPr lang="tr-TR" sz="1400" baseline="0"/>
              <a:t> Toplam Karları</a:t>
            </a:r>
            <a:endParaRPr lang="tr-TR" sz="1400"/>
          </a:p>
        </c:rich>
      </c:tx>
      <c:layout>
        <c:manualLayout>
          <c:xMode val="edge"/>
          <c:yMode val="edge"/>
          <c:x val="4.6618640755012017E-4"/>
          <c:y val="0.1490387139107611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5.1063829787233991E-2"/>
              <c:y val="-3.472222222222223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0294489538422092"/>
          <c:y val="0.12237179487179485"/>
          <c:w val="0.43156812339331618"/>
          <c:h val="0.80711538461538457"/>
        </c:manualLayout>
      </c:layout>
      <c:pieChart>
        <c:varyColors val="1"/>
        <c:ser>
          <c:idx val="0"/>
          <c:order val="0"/>
          <c:tx>
            <c:strRef>
              <c:f>pivot!$B$33</c:f>
              <c:strCache>
                <c:ptCount val="1"/>
                <c:pt idx="0">
                  <c:v>Toplam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A39-4DDF-8AC5-4EE2C87C439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A39-4DDF-8AC5-4EE2C87C439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A39-4DDF-8AC5-4EE2C87C439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A39-4DDF-8AC5-4EE2C87C4398}"/>
              </c:ext>
            </c:extLst>
          </c:dPt>
          <c:dLbls>
            <c:dLbl>
              <c:idx val="3"/>
              <c:layout>
                <c:manualLayout>
                  <c:x val="5.1063829787233991E-2"/>
                  <c:y val="-3.4722222222222231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A39-4DDF-8AC5-4EE2C87C439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pivot!$A$34:$A$38</c:f>
              <c:strCache>
                <c:ptCount val="4"/>
                <c:pt idx="0">
                  <c:v>Ankara</c:v>
                </c:pt>
                <c:pt idx="1">
                  <c:v>Bursa</c:v>
                </c:pt>
                <c:pt idx="2">
                  <c:v>İstanbul</c:v>
                </c:pt>
                <c:pt idx="3">
                  <c:v>İzmir</c:v>
                </c:pt>
              </c:strCache>
            </c:strRef>
          </c:cat>
          <c:val>
            <c:numRef>
              <c:f>pivot!$B$34:$B$38</c:f>
              <c:numCache>
                <c:formatCode>General</c:formatCode>
                <c:ptCount val="4"/>
                <c:pt idx="0">
                  <c:v>32900</c:v>
                </c:pt>
                <c:pt idx="1">
                  <c:v>32150</c:v>
                </c:pt>
                <c:pt idx="2">
                  <c:v>75800</c:v>
                </c:pt>
                <c:pt idx="3">
                  <c:v>37500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A39-4DDF-8AC5-4EE2C87C439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1809174881417457"/>
          <c:y val="9.1632848778518072E-2"/>
          <c:w val="0.15448751425352036"/>
          <c:h val="0.3301312335958005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[tamamlanan şehir tablosu.xlsx]pivot!PivotTable44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/>
              <a:t>Şehir</a:t>
            </a:r>
            <a:r>
              <a:rPr lang="tr-TR" baseline="0"/>
              <a:t> ve Ürün Cinsine Göre Kar Marjları</a:t>
            </a:r>
            <a:endParaRPr lang="tr-T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pivot!$B$40:$B$41</c:f>
              <c:strCache>
                <c:ptCount val="1"/>
                <c:pt idx="0">
                  <c:v>Elektronik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pivot!$A$42:$A$46</c:f>
              <c:strCache>
                <c:ptCount val="4"/>
                <c:pt idx="0">
                  <c:v>Ankara</c:v>
                </c:pt>
                <c:pt idx="1">
                  <c:v>Bursa</c:v>
                </c:pt>
                <c:pt idx="2">
                  <c:v>İstanbul</c:v>
                </c:pt>
                <c:pt idx="3">
                  <c:v>İzmir</c:v>
                </c:pt>
              </c:strCache>
            </c:strRef>
          </c:cat>
          <c:val>
            <c:numRef>
              <c:f>pivot!$B$42:$B$46</c:f>
              <c:numCache>
                <c:formatCode>General</c:formatCode>
                <c:ptCount val="4"/>
                <c:pt idx="2">
                  <c:v>15.686922060766181</c:v>
                </c:pt>
                <c:pt idx="3">
                  <c:v>16.397228637413395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FE-447B-9BE5-EA3FA294FD33}"/>
            </c:ext>
          </c:extLst>
        </c:ser>
        <c:ser>
          <c:idx val="1"/>
          <c:order val="1"/>
          <c:tx>
            <c:strRef>
              <c:f>pivot!$C$40:$C$41</c:f>
              <c:strCache>
                <c:ptCount val="1"/>
                <c:pt idx="0">
                  <c:v>Gıda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pivot!$A$42:$A$46</c:f>
              <c:strCache>
                <c:ptCount val="4"/>
                <c:pt idx="0">
                  <c:v>Ankara</c:v>
                </c:pt>
                <c:pt idx="1">
                  <c:v>Bursa</c:v>
                </c:pt>
                <c:pt idx="2">
                  <c:v>İstanbul</c:v>
                </c:pt>
                <c:pt idx="3">
                  <c:v>İzmir</c:v>
                </c:pt>
              </c:strCache>
            </c:strRef>
          </c:cat>
          <c:val>
            <c:numRef>
              <c:f>pivot!$C$42:$C$46</c:f>
              <c:numCache>
                <c:formatCode>General</c:formatCode>
                <c:ptCount val="4"/>
                <c:pt idx="1">
                  <c:v>12.644508670520233</c:v>
                </c:pt>
                <c:pt idx="2">
                  <c:v>3.2364597093791283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CFE-447B-9BE5-EA3FA294FD33}"/>
            </c:ext>
          </c:extLst>
        </c:ser>
        <c:ser>
          <c:idx val="2"/>
          <c:order val="2"/>
          <c:tx>
            <c:strRef>
              <c:f>pivot!$D$40:$D$41</c:f>
              <c:strCache>
                <c:ptCount val="1"/>
                <c:pt idx="0">
                  <c:v>Mobilya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pivot!$A$42:$A$46</c:f>
              <c:strCache>
                <c:ptCount val="4"/>
                <c:pt idx="0">
                  <c:v>Ankara</c:v>
                </c:pt>
                <c:pt idx="1">
                  <c:v>Bursa</c:v>
                </c:pt>
                <c:pt idx="2">
                  <c:v>İstanbul</c:v>
                </c:pt>
                <c:pt idx="3">
                  <c:v>İzmir</c:v>
                </c:pt>
              </c:strCache>
            </c:strRef>
          </c:cat>
          <c:val>
            <c:numRef>
              <c:f>pivot!$D$42:$D$46</c:f>
              <c:numCache>
                <c:formatCode>General</c:formatCode>
                <c:ptCount val="4"/>
                <c:pt idx="0">
                  <c:v>18.387096774193548</c:v>
                </c:pt>
                <c:pt idx="2">
                  <c:v>6.1096433289299865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CFE-447B-9BE5-EA3FA294FD33}"/>
            </c:ext>
          </c:extLst>
        </c:ser>
        <c:ser>
          <c:idx val="3"/>
          <c:order val="3"/>
          <c:tx>
            <c:strRef>
              <c:f>pivot!$E$40:$E$41</c:f>
              <c:strCache>
                <c:ptCount val="1"/>
                <c:pt idx="0">
                  <c:v>Tekstil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pivot!$A$42:$A$46</c:f>
              <c:strCache>
                <c:ptCount val="4"/>
                <c:pt idx="0">
                  <c:v>Ankara</c:v>
                </c:pt>
                <c:pt idx="1">
                  <c:v>Bursa</c:v>
                </c:pt>
                <c:pt idx="2">
                  <c:v>İstanbul</c:v>
                </c:pt>
                <c:pt idx="3">
                  <c:v>İzmir</c:v>
                </c:pt>
              </c:strCache>
            </c:strRef>
          </c:cat>
          <c:val>
            <c:numRef>
              <c:f>pivot!$E$42:$E$46</c:f>
              <c:numCache>
                <c:formatCode>General</c:formatCode>
                <c:ptCount val="4"/>
                <c:pt idx="0">
                  <c:v>16.989247311827956</c:v>
                </c:pt>
                <c:pt idx="1">
                  <c:v>33.815028901734109</c:v>
                </c:pt>
                <c:pt idx="3">
                  <c:v>18.244803695150118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CFE-447B-9BE5-EA3FA294FD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22287744"/>
        <c:axId val="1222298304"/>
      </c:barChart>
      <c:catAx>
        <c:axId val="1222287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222298304"/>
        <c:crosses val="autoZero"/>
        <c:auto val="1"/>
        <c:lblAlgn val="ctr"/>
        <c:lblOffset val="100"/>
        <c:noMultiLvlLbl val="0"/>
      </c:catAx>
      <c:valAx>
        <c:axId val="12222983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22228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size">
        <cx:f>_xlchart.v1.1</cx:f>
      </cx:numDim>
    </cx:data>
  </cx:chartData>
  <cx:chart>
    <cx:title pos="t" align="ctr" overlay="0">
      <cx:tx>
        <cx:txData>
          <cx:v>Şehirlerde Satılan Ürün Cinsi Sayısı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tr-T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Şehirlerde Satılan Ürün Cinsi Sayısı</a:t>
          </a:r>
        </a:p>
      </cx:txPr>
    </cx:title>
    <cx:plotArea>
      <cx:plotAreaRegion>
        <cx:series layoutId="treemap" uniqueId="{3F263BDD-902A-4191-8249-2270F815E916}">
          <cx:dataLabels>
            <cx:visibility seriesName="0" categoryName="1" value="1"/>
            <cx:separator>
</cx:separator>
          </cx:dataLabels>
          <cx:dataId val="0"/>
          <cx:layoutPr>
            <cx:parentLabelLayout val="overlapping"/>
          </cx:layoutPr>
        </cx:series>
      </cx:plotAreaRegion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microsoft.com/office/2014/relationships/chartEx" Target="../charts/chartEx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247650</xdr:colOff>
      <xdr:row>0</xdr:row>
      <xdr:rowOff>47625</xdr:rowOff>
    </xdr:from>
    <xdr:to>
      <xdr:col>16</xdr:col>
      <xdr:colOff>95250</xdr:colOff>
      <xdr:row>2</xdr:row>
      <xdr:rowOff>57150</xdr:rowOff>
    </xdr:to>
    <xdr:sp macro="" textlink="">
      <xdr:nvSpPr>
        <xdr:cNvPr id="3" name="Dikdörtgen: Köşeleri Yuvarlatılmış 2">
          <a:extLst>
            <a:ext uri="{FF2B5EF4-FFF2-40B4-BE49-F238E27FC236}">
              <a16:creationId xmlns:a16="http://schemas.microsoft.com/office/drawing/2014/main" id="{4F6D2531-7D97-13FD-4583-D04D940682EA}"/>
            </a:ext>
          </a:extLst>
        </xdr:cNvPr>
        <xdr:cNvSpPr/>
      </xdr:nvSpPr>
      <xdr:spPr>
        <a:xfrm>
          <a:off x="2686050" y="47625"/>
          <a:ext cx="7162800" cy="390525"/>
        </a:xfrm>
        <a:prstGeom prst="roundRect">
          <a:avLst/>
        </a:prstGeom>
        <a:solidFill>
          <a:srgbClr val="E0ECF8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r-TR" sz="1100">
              <a:solidFill>
                <a:sysClr val="windowText" lastClr="000000"/>
              </a:solidFill>
            </a:rPr>
            <a:t>ŞEHİR</a:t>
          </a:r>
          <a:r>
            <a:rPr lang="tr-TR" sz="1100" baseline="0">
              <a:solidFill>
                <a:sysClr val="windowText" lastClr="000000"/>
              </a:solidFill>
            </a:rPr>
            <a:t>LERİN FAALİYETİ  GÖSTERGE PANELİ</a:t>
          </a:r>
          <a:endParaRPr lang="tr-TR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28575</xdr:colOff>
      <xdr:row>2</xdr:row>
      <xdr:rowOff>104774</xdr:rowOff>
    </xdr:from>
    <xdr:to>
      <xdr:col>5</xdr:col>
      <xdr:colOff>457200</xdr:colOff>
      <xdr:row>30</xdr:row>
      <xdr:rowOff>95250</xdr:rowOff>
    </xdr:to>
    <xdr:graphicFrame macro="">
      <xdr:nvGraphicFramePr>
        <xdr:cNvPr id="9" name="Grafik 8">
          <a:extLst>
            <a:ext uri="{FF2B5EF4-FFF2-40B4-BE49-F238E27FC236}">
              <a16:creationId xmlns:a16="http://schemas.microsoft.com/office/drawing/2014/main" id="{A9138E06-EB3F-4ED3-B967-19DDE42218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514350</xdr:colOff>
      <xdr:row>2</xdr:row>
      <xdr:rowOff>104775</xdr:rowOff>
    </xdr:from>
    <xdr:to>
      <xdr:col>12</xdr:col>
      <xdr:colOff>438150</xdr:colOff>
      <xdr:row>9</xdr:row>
      <xdr:rowOff>109538</xdr:rowOff>
    </xdr:to>
    <xdr:graphicFrame macro="">
      <xdr:nvGraphicFramePr>
        <xdr:cNvPr id="10" name="Grafik 9">
          <a:extLst>
            <a:ext uri="{FF2B5EF4-FFF2-40B4-BE49-F238E27FC236}">
              <a16:creationId xmlns:a16="http://schemas.microsoft.com/office/drawing/2014/main" id="{35B32D50-017A-4383-A963-A197A2FBF2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504825</xdr:colOff>
      <xdr:row>10</xdr:row>
      <xdr:rowOff>28575</xdr:rowOff>
    </xdr:from>
    <xdr:to>
      <xdr:col>12</xdr:col>
      <xdr:colOff>466725</xdr:colOff>
      <xdr:row>20</xdr:row>
      <xdr:rowOff>95251</xdr:rowOff>
    </xdr:to>
    <xdr:graphicFrame macro="">
      <xdr:nvGraphicFramePr>
        <xdr:cNvPr id="11" name="Grafik 10">
          <a:extLst>
            <a:ext uri="{FF2B5EF4-FFF2-40B4-BE49-F238E27FC236}">
              <a16:creationId xmlns:a16="http://schemas.microsoft.com/office/drawing/2014/main" id="{CCB8B1C1-0548-46EB-B26E-F0671E7305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514350</xdr:colOff>
      <xdr:row>20</xdr:row>
      <xdr:rowOff>152401</xdr:rowOff>
    </xdr:from>
    <xdr:to>
      <xdr:col>13</xdr:col>
      <xdr:colOff>114300</xdr:colOff>
      <xdr:row>30</xdr:row>
      <xdr:rowOff>76201</xdr:rowOff>
    </xdr:to>
    <xdr:graphicFrame macro="">
      <xdr:nvGraphicFramePr>
        <xdr:cNvPr id="12" name="Grafik 11">
          <a:extLst>
            <a:ext uri="{FF2B5EF4-FFF2-40B4-BE49-F238E27FC236}">
              <a16:creationId xmlns:a16="http://schemas.microsoft.com/office/drawing/2014/main" id="{24117850-41B9-4BF1-8344-E33FE46AE6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180976</xdr:colOff>
      <xdr:row>20</xdr:row>
      <xdr:rowOff>38100</xdr:rowOff>
    </xdr:from>
    <xdr:to>
      <xdr:col>20</xdr:col>
      <xdr:colOff>247650</xdr:colOff>
      <xdr:row>30</xdr:row>
      <xdr:rowOff>76200</xdr:rowOff>
    </xdr:to>
    <xdr:graphicFrame macro="">
      <xdr:nvGraphicFramePr>
        <xdr:cNvPr id="13" name="Grafik 12">
          <a:extLst>
            <a:ext uri="{FF2B5EF4-FFF2-40B4-BE49-F238E27FC236}">
              <a16:creationId xmlns:a16="http://schemas.microsoft.com/office/drawing/2014/main" id="{C2B297F5-FDD7-4A35-928E-CC1DB4D57D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552449</xdr:colOff>
      <xdr:row>10</xdr:row>
      <xdr:rowOff>38100</xdr:rowOff>
    </xdr:from>
    <xdr:to>
      <xdr:col>20</xdr:col>
      <xdr:colOff>238124</xdr:colOff>
      <xdr:row>19</xdr:row>
      <xdr:rowOff>180974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4" name="Grafik 13">
              <a:extLst>
                <a:ext uri="{FF2B5EF4-FFF2-40B4-BE49-F238E27FC236}">
                  <a16:creationId xmlns:a16="http://schemas.microsoft.com/office/drawing/2014/main" id="{97A8BA25-F930-4A0C-B2AA-E6C7CA2CACD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867649" y="1943100"/>
              <a:ext cx="4562475" cy="185737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grafik, Excel sürümünüzde kullanılamaz.
Bu şekli düzenlemek veya bu çalışma kitabını farklı bir dosya biçiminde kaydetmek grafiğin kalıcı olarak bozulmasına neden olur.</a:t>
              </a:r>
            </a:p>
          </xdr:txBody>
        </xdr:sp>
      </mc:Fallback>
    </mc:AlternateContent>
    <xdr:clientData/>
  </xdr:twoCellAnchor>
  <xdr:twoCellAnchor>
    <xdr:from>
      <xdr:col>13</xdr:col>
      <xdr:colOff>9525</xdr:colOff>
      <xdr:row>3</xdr:row>
      <xdr:rowOff>133350</xdr:rowOff>
    </xdr:from>
    <xdr:to>
      <xdr:col>16</xdr:col>
      <xdr:colOff>228600</xdr:colOff>
      <xdr:row>8</xdr:row>
      <xdr:rowOff>66675</xdr:rowOff>
    </xdr:to>
    <xdr:sp macro="" textlink="">
      <xdr:nvSpPr>
        <xdr:cNvPr id="2" name="Dikdörtgen: Köşeleri Yuvarlatılmış 1">
          <a:extLst>
            <a:ext uri="{FF2B5EF4-FFF2-40B4-BE49-F238E27FC236}">
              <a16:creationId xmlns:a16="http://schemas.microsoft.com/office/drawing/2014/main" id="{9FA06DD1-D8F8-2E16-E346-BE95112153EF}"/>
            </a:ext>
          </a:extLst>
        </xdr:cNvPr>
        <xdr:cNvSpPr/>
      </xdr:nvSpPr>
      <xdr:spPr>
        <a:xfrm>
          <a:off x="7934325" y="704850"/>
          <a:ext cx="2047875" cy="885825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tr-TR" sz="1800"/>
            <a:t>Toplam Gelir </a:t>
          </a:r>
        </a:p>
        <a:p>
          <a:pPr algn="ctr"/>
          <a:r>
            <a:rPr lang="tr-TR" sz="1800"/>
            <a:t>573.250 TL</a:t>
          </a:r>
        </a:p>
      </xdr:txBody>
    </xdr:sp>
    <xdr:clientData/>
  </xdr:twoCellAnchor>
  <xdr:twoCellAnchor>
    <xdr:from>
      <xdr:col>16</xdr:col>
      <xdr:colOff>504825</xdr:colOff>
      <xdr:row>3</xdr:row>
      <xdr:rowOff>142875</xdr:rowOff>
    </xdr:from>
    <xdr:to>
      <xdr:col>20</xdr:col>
      <xdr:colOff>114300</xdr:colOff>
      <xdr:row>8</xdr:row>
      <xdr:rowOff>76200</xdr:rowOff>
    </xdr:to>
    <xdr:sp macro="" textlink="">
      <xdr:nvSpPr>
        <xdr:cNvPr id="4" name="Dikdörtgen: Köşeleri Yuvarlatılmış 3">
          <a:extLst>
            <a:ext uri="{FF2B5EF4-FFF2-40B4-BE49-F238E27FC236}">
              <a16:creationId xmlns:a16="http://schemas.microsoft.com/office/drawing/2014/main" id="{C36CF0EC-13B3-4AB2-88F3-58540601355B}"/>
            </a:ext>
          </a:extLst>
        </xdr:cNvPr>
        <xdr:cNvSpPr/>
      </xdr:nvSpPr>
      <xdr:spPr>
        <a:xfrm>
          <a:off x="10258425" y="714375"/>
          <a:ext cx="2047875" cy="885825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tr-TR" sz="1800"/>
            <a:t>Toplam Maliyet</a:t>
          </a:r>
        </a:p>
        <a:p>
          <a:pPr algn="ctr"/>
          <a:r>
            <a:rPr lang="tr-TR" sz="1800"/>
            <a:t>394.900 TL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sper" refreshedDate="46034.978179861107" createdVersion="8" refreshedVersion="8" minRefreshableVersion="3" recordCount="9" xr:uid="{2D2AEC53-BDEC-4776-A95C-0FD3C786D06E}">
  <cacheSource type="worksheet">
    <worksheetSource ref="A1:F10" sheet="yan tablo"/>
  </cacheSource>
  <cacheFields count="6">
    <cacheField name="Şehir" numFmtId="0">
      <sharedItems count="4">
        <s v="İstanbul"/>
        <s v="Ankara"/>
        <s v="Bursa"/>
        <s v="İzmir"/>
      </sharedItems>
    </cacheField>
    <cacheField name="Ürün Cinsi" numFmtId="0">
      <sharedItems count="5">
        <s v="Elektronik"/>
        <s v="Mobilya "/>
        <s v="Gıda"/>
        <s v="Tekstil"/>
        <s v="Teknolojik" u="1"/>
      </sharedItems>
    </cacheField>
    <cacheField name="Gelir (TL)" numFmtId="0">
      <sharedItems containsSemiMixedTypes="0" containsString="0" containsNumber="1" containsInteger="1" minValue="25200" maxValue="202500"/>
    </cacheField>
    <cacheField name="Maliyet (TL)" numFmtId="0">
      <sharedItems containsSemiMixedTypes="0" containsString="0" containsNumber="1" containsInteger="1" minValue="16450" maxValue="155000"/>
    </cacheField>
    <cacheField name="Kar" numFmtId="0">
      <sharedItems containsSemiMixedTypes="0" containsString="0" containsNumber="1" containsInteger="1" minValue="8750" maxValue="47500"/>
    </cacheField>
    <cacheField name="Kar Marjı" numFmtId="0">
      <sharedItems containsSemiMixedTypes="0" containsString="0" containsNumber="1" minValue="3.2364597093791283" maxValue="33.815028901734109"/>
    </cacheField>
  </cacheFields>
  <extLst>
    <ext xmlns:x14="http://schemas.microsoft.com/office/spreadsheetml/2009/9/main" uri="{725AE2AE-9491-48be-B2B4-4EB974FC3084}">
      <x14:pivotCacheDefinition pivotCacheId="128087441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sper" refreshedDate="46034.978181828701" createdVersion="8" refreshedVersion="8" minRefreshableVersion="3" recordCount="10" xr:uid="{3F8D2645-83ED-4A2E-88E9-3AC4D86F764C}">
  <cacheSource type="worksheet">
    <worksheetSource ref="A1:H11" sheet="ana tablo"/>
  </cacheSource>
  <cacheFields count="8">
    <cacheField name="Tarih" numFmtId="14">
      <sharedItems containsSemiMixedTypes="0" containsNonDate="0" containsDate="1" containsString="0" minDate="2026-01-01T00:00:00" maxDate="2026-01-06T00:00:00" count="5">
        <d v="2026-01-01T00:00:00"/>
        <d v="2026-01-02T00:00:00"/>
        <d v="2026-01-03T00:00:00"/>
        <d v="2026-01-04T00:00:00"/>
        <d v="2026-01-05T00:00:00"/>
      </sharedItems>
    </cacheField>
    <cacheField name="Şehir" numFmtId="0">
      <sharedItems count="4">
        <s v="İstanbul"/>
        <s v="Ankara"/>
        <s v="İzmir"/>
        <s v="Bursa"/>
      </sharedItems>
    </cacheField>
    <cacheField name="Şube Adı" numFmtId="0">
      <sharedItems/>
    </cacheField>
    <cacheField name="Ürün Cinsi" numFmtId="0">
      <sharedItems count="4">
        <s v="Elektronik"/>
        <s v="Mobilya"/>
        <s v="Tekstil"/>
        <s v="Gıda"/>
      </sharedItems>
    </cacheField>
    <cacheField name="Satılan Adet" numFmtId="0">
      <sharedItems containsSemiMixedTypes="0" containsString="0" containsNumber="1" containsInteger="1" minValue="8" maxValue="340"/>
    </cacheField>
    <cacheField name="Birim Satış (TL)" numFmtId="0">
      <sharedItems containsSemiMixedTypes="0" containsString="0" containsNumber="1" containsInteger="1" minValue="95" maxValue="8500"/>
    </cacheField>
    <cacheField name="Birim Maliyet (TL)" numFmtId="0">
      <sharedItems containsSemiMixedTypes="0" containsString="0" containsNumber="1" containsInteger="1" minValue="50" maxValue="5500"/>
    </cacheField>
    <cacheField name="Operasyonel Gider (TL)" numFmtId="3">
      <sharedItems containsSemiMixedTypes="0" containsString="0" containsNumber="1" containsInteger="1" minValue="2800" maxValue="6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x v="0"/>
    <x v="0"/>
    <n v="202500"/>
    <n v="155000"/>
    <n v="47500"/>
    <n v="15.686922060766181"/>
  </r>
  <r>
    <x v="0"/>
    <x v="1"/>
    <n v="68000"/>
    <n v="49500"/>
    <n v="18500"/>
    <n v="6.1096433289299865"/>
  </r>
  <r>
    <x v="0"/>
    <x v="2"/>
    <n v="32300"/>
    <n v="22500"/>
    <n v="9800"/>
    <n v="3.2364597093791283"/>
  </r>
  <r>
    <x v="1"/>
    <x v="1"/>
    <n v="60000"/>
    <n v="42900"/>
    <n v="17100"/>
    <n v="18.387096774193548"/>
  </r>
  <r>
    <x v="1"/>
    <x v="3"/>
    <n v="33000"/>
    <n v="17200"/>
    <n v="15800"/>
    <n v="16.989247311827956"/>
  </r>
  <r>
    <x v="2"/>
    <x v="3"/>
    <n v="44000"/>
    <n v="20600"/>
    <n v="23400"/>
    <n v="33.815028901734109"/>
  </r>
  <r>
    <x v="2"/>
    <x v="2"/>
    <n v="25200"/>
    <n v="16450"/>
    <n v="8750"/>
    <n v="12.644508670520233"/>
  </r>
  <r>
    <x v="3"/>
    <x v="0"/>
    <n v="70000"/>
    <n v="52250"/>
    <n v="17750"/>
    <n v="16.397228637413395"/>
  </r>
  <r>
    <x v="3"/>
    <x v="3"/>
    <n v="38250"/>
    <n v="18500"/>
    <n v="19750"/>
    <n v="18.24480369515011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x v="0"/>
    <s v="Kadıköy"/>
    <x v="0"/>
    <n v="45"/>
    <n v="2500"/>
    <n v="1800"/>
    <n v="5000"/>
  </r>
  <r>
    <x v="0"/>
    <x v="1"/>
    <s v="Çankaya"/>
    <x v="1"/>
    <n v="12"/>
    <n v="5000"/>
    <n v="3200"/>
    <n v="4500"/>
  </r>
  <r>
    <x v="1"/>
    <x v="2"/>
    <s v="Konak"/>
    <x v="2"/>
    <n v="85"/>
    <n v="450"/>
    <n v="180"/>
    <n v="3200"/>
  </r>
  <r>
    <x v="1"/>
    <x v="0"/>
    <s v="Beşiktaş"/>
    <x v="0"/>
    <n v="30"/>
    <n v="3000"/>
    <n v="2100"/>
    <n v="6000"/>
  </r>
  <r>
    <x v="2"/>
    <x v="3"/>
    <s v="Nilüfer"/>
    <x v="3"/>
    <n v="210"/>
    <n v="120"/>
    <n v="65"/>
    <n v="2800"/>
  </r>
  <r>
    <x v="2"/>
    <x v="1"/>
    <s v="Çankaya"/>
    <x v="2"/>
    <n v="60"/>
    <n v="550"/>
    <n v="220"/>
    <n v="4000"/>
  </r>
  <r>
    <x v="3"/>
    <x v="0"/>
    <s v="Kadıköy"/>
    <x v="1"/>
    <n v="8"/>
    <n v="8500"/>
    <n v="5500"/>
    <n v="5500"/>
  </r>
  <r>
    <x v="3"/>
    <x v="2"/>
    <s v="Konak"/>
    <x v="0"/>
    <n v="25"/>
    <n v="2800"/>
    <n v="1950"/>
    <n v="3500"/>
  </r>
  <r>
    <x v="4"/>
    <x v="3"/>
    <s v="Nilüfer"/>
    <x v="2"/>
    <n v="110"/>
    <n v="400"/>
    <n v="160"/>
    <n v="3000"/>
  </r>
  <r>
    <x v="4"/>
    <x v="0"/>
    <s v="Beşiktaş"/>
    <x v="3"/>
    <n v="340"/>
    <n v="95"/>
    <n v="50"/>
    <n v="55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7769A3-5C44-4CA8-A723-02964104C8E2}" name="PivotTable6" cacheId="1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outline="1" outlineData="1" multipleFieldFilters="0" chartFormat="16">
  <location ref="A9:F15" firstHeaderRow="1" firstDataRow="2" firstDataCol="1"/>
  <pivotFields count="8">
    <pivotField numFmtId="14" showAll="0"/>
    <pivotField axis="axisRow" showAll="0">
      <items count="5">
        <item x="1"/>
        <item x="3"/>
        <item x="0"/>
        <item x="2"/>
        <item t="default"/>
      </items>
    </pivotField>
    <pivotField showAll="0"/>
    <pivotField axis="axisCol" showAll="0">
      <items count="5">
        <item x="0"/>
        <item x="3"/>
        <item x="1"/>
        <item x="2"/>
        <item t="default"/>
      </items>
    </pivotField>
    <pivotField dataField="1" showAll="0"/>
    <pivotField showAll="0"/>
    <pivotField showAll="0"/>
    <pivotField numFmtId="3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3"/>
  </colFields>
  <colItems count="5">
    <i>
      <x/>
    </i>
    <i>
      <x v="1"/>
    </i>
    <i>
      <x v="2"/>
    </i>
    <i>
      <x v="3"/>
    </i>
    <i t="grand">
      <x/>
    </i>
  </colItems>
  <dataFields count="1">
    <dataField name="Toplam Satılan Adet" fld="4" baseField="0" baseItem="0"/>
  </dataFields>
  <chartFormats count="4">
    <chartFormat chart="15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5" format="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5" format="1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5" format="1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D221C6-B20D-4827-86AB-3CC567E8FE10}" name="PivotTable43" cacheId="0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outline="1" outlineData="1" multipleFieldFilters="0" chartFormat="4">
  <location ref="A33:B38" firstHeaderRow="1" firstDataRow="1" firstDataCol="1"/>
  <pivotFields count="6">
    <pivotField axis="axisRow" showAll="0">
      <items count="5">
        <item x="1"/>
        <item x="2"/>
        <item x="0"/>
        <item x="3"/>
        <item t="default"/>
      </items>
    </pivotField>
    <pivotField showAll="0">
      <items count="6">
        <item x="0"/>
        <item x="2"/>
        <item x="1"/>
        <item m="1" x="4"/>
        <item x="3"/>
        <item t="default"/>
      </items>
    </pivotField>
    <pivotField showAll="0"/>
    <pivotField showAll="0"/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Toplam Kar" fld="4" baseField="0" baseItem="0"/>
  </dataFields>
  <chartFormats count="5"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F358E3-FF15-4D95-9406-282F9E327DC1}" name="PivotTable42" cacheId="0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outline="1" outlineData="1" multipleFieldFilters="0">
  <location ref="A25:B30" firstHeaderRow="1" firstDataRow="1" firstDataCol="1"/>
  <pivotFields count="6">
    <pivotField showAll="0"/>
    <pivotField axis="axisRow" showAll="0">
      <items count="6">
        <item x="0"/>
        <item x="2"/>
        <item x="1"/>
        <item m="1" x="4"/>
        <item x="3"/>
        <item t="default"/>
      </items>
    </pivotField>
    <pivotField showAll="0"/>
    <pivotField dataField="1" showAll="0"/>
    <pivotField showAll="0"/>
    <pivotField showAll="0"/>
  </pivotFields>
  <rowFields count="1">
    <field x="1"/>
  </rowFields>
  <rowItems count="5">
    <i>
      <x/>
    </i>
    <i>
      <x v="1"/>
    </i>
    <i>
      <x v="2"/>
    </i>
    <i>
      <x v="4"/>
    </i>
    <i t="grand">
      <x/>
    </i>
  </rowItems>
  <colItems count="1">
    <i/>
  </colItems>
  <dataFields count="1">
    <dataField name="Toplam Maliyet (TL)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A6E16B-9D8C-442D-BE31-9424D459E15B}" name="PivotTable48" cacheId="1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outline="1" outlineData="1" multipleFieldFilters="0" chartFormat="8">
  <location ref="A55:B61" firstHeaderRow="1" firstDataRow="1" firstDataCol="1"/>
  <pivotFields count="8">
    <pivotField axis="axisRow" numFmtId="14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dataField="1" showAll="0"/>
    <pivotField showAll="0"/>
    <pivotField showAll="0"/>
    <pivotField numFmtId="3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Toplam Satılan Adet" fld="4" baseField="0" baseItem="0"/>
  </dataFields>
  <chartFormats count="1"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BE5131-AD21-4D9B-B859-E8A0114AD7BC}" name="PivotTable45" cacheId="0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outline="1" outlineData="1" multipleFieldFilters="0">
  <location ref="A48:B53" firstHeaderRow="1" firstDataRow="1" firstDataCol="1"/>
  <pivotFields count="6">
    <pivotField axis="axisRow" showAll="0">
      <items count="5">
        <item x="1"/>
        <item x="2"/>
        <item x="0"/>
        <item x="3"/>
        <item t="default"/>
      </items>
    </pivotField>
    <pivotField dataField="1" showAll="0">
      <items count="6">
        <item x="0"/>
        <item x="2"/>
        <item x="1"/>
        <item m="1" x="4"/>
        <item x="3"/>
        <item t="default"/>
      </items>
    </pivotField>
    <pivotField showAll="0"/>
    <pivotField showAll="0"/>
    <pivotField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ay Ürün Cinsi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F92D90-5B1B-442D-9704-45A497E3295E}" name="PivotTable41" cacheId="0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outline="1" outlineData="1" multipleFieldFilters="0" chartFormat="5">
  <location ref="A17:C22" firstHeaderRow="0" firstDataRow="1" firstDataCol="1"/>
  <pivotFields count="6">
    <pivotField axis="axisRow" showAll="0">
      <items count="5">
        <item x="1"/>
        <item x="2"/>
        <item x="0"/>
        <item x="3"/>
        <item t="default"/>
      </items>
    </pivotField>
    <pivotField showAll="0"/>
    <pivotField dataField="1" showAll="0"/>
    <pivotField dataField="1" showAll="0"/>
    <pivotField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Toplam Gelir (TL)" fld="2" baseField="0" baseItem="0"/>
    <dataField name="Toplam Maliyet (TL)" fld="3" baseField="0" baseItem="0"/>
  </dataFields>
  <chartFormats count="2"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77747B-9133-4E47-BE68-7AC51A3F08D8}" name="PivotTable44" cacheId="0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outline="1" outlineData="1" multipleFieldFilters="0" chartFormat="4">
  <location ref="A40:F46" firstHeaderRow="1" firstDataRow="2" firstDataCol="1"/>
  <pivotFields count="6">
    <pivotField axis="axisRow" showAll="0">
      <items count="5">
        <item x="1"/>
        <item x="2"/>
        <item x="0"/>
        <item x="3"/>
        <item t="default"/>
      </items>
    </pivotField>
    <pivotField axis="axisCol" showAll="0">
      <items count="6">
        <item x="0"/>
        <item x="2"/>
        <item x="1"/>
        <item m="1" x="4"/>
        <item x="3"/>
        <item t="default"/>
      </items>
    </pivotField>
    <pivotField showAll="0"/>
    <pivotField showAll="0"/>
    <pivotField showAll="0"/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5">
    <i>
      <x/>
    </i>
    <i>
      <x v="1"/>
    </i>
    <i>
      <x v="2"/>
    </i>
    <i>
      <x v="4"/>
    </i>
    <i t="grand">
      <x/>
    </i>
  </colItems>
  <dataFields count="1">
    <dataField name="Toplam Kar Marjı" fld="5" baseField="0" baseItem="0"/>
  </dataFields>
  <formats count="11">
    <format dxfId="10">
      <pivotArea collapsedLevelsAreSubtotals="1" fieldPosition="0">
        <references count="2">
          <reference field="0" count="1">
            <x v="3"/>
          </reference>
          <reference field="1" count="1" selected="0">
            <x v="0"/>
          </reference>
        </references>
      </pivotArea>
    </format>
    <format dxfId="9">
      <pivotArea collapsedLevelsAreSubtotals="1" fieldPosition="0">
        <references count="2">
          <reference field="0" count="1">
            <x v="1"/>
          </reference>
          <reference field="1" count="1" selected="0">
            <x v="1"/>
          </reference>
        </references>
      </pivotArea>
    </format>
    <format dxfId="8">
      <pivotArea collapsedLevelsAreSubtotals="1" fieldPosition="0">
        <references count="2">
          <reference field="0" count="1">
            <x v="2"/>
          </reference>
          <reference field="1" count="1" selected="0">
            <x v="1"/>
          </reference>
        </references>
      </pivotArea>
    </format>
    <format dxfId="7">
      <pivotArea collapsedLevelsAreSubtotals="1" fieldPosition="0">
        <references count="2">
          <reference field="0" count="1">
            <x v="0"/>
          </reference>
          <reference field="1" count="1" selected="0">
            <x v="2"/>
          </reference>
        </references>
      </pivotArea>
    </format>
    <format dxfId="6">
      <pivotArea collapsedLevelsAreSubtotals="1" fieldPosition="0">
        <references count="2">
          <reference field="0" count="1">
            <x v="2"/>
          </reference>
          <reference field="1" count="1" selected="0">
            <x v="2"/>
          </reference>
        </references>
      </pivotArea>
    </format>
    <format dxfId="5">
      <pivotArea collapsedLevelsAreSubtotals="1" fieldPosition="0">
        <references count="2">
          <reference field="0" count="1">
            <x v="2"/>
          </reference>
          <reference field="1" count="1" selected="0">
            <x v="3"/>
          </reference>
        </references>
      </pivotArea>
    </format>
    <format dxfId="4">
      <pivotArea collapsedLevelsAreSubtotals="1" fieldPosition="0">
        <references count="2">
          <reference field="0" count="1">
            <x v="0"/>
          </reference>
          <reference field="1" count="1" selected="0">
            <x v="4"/>
          </reference>
        </references>
      </pivotArea>
    </format>
    <format dxfId="3">
      <pivotArea collapsedLevelsAreSubtotals="1" fieldPosition="0">
        <references count="2">
          <reference field="0" count="1">
            <x v="1"/>
          </reference>
          <reference field="1" count="1" selected="0">
            <x v="4"/>
          </reference>
        </references>
      </pivotArea>
    </format>
    <format dxfId="2">
      <pivotArea collapsedLevelsAreSubtotals="1" fieldPosition="0">
        <references count="2">
          <reference field="0" count="1">
            <x v="3"/>
          </reference>
          <reference field="1" count="1" selected="0">
            <x v="4"/>
          </reference>
        </references>
      </pivotArea>
    </format>
    <format dxfId="1">
      <pivotArea field="1" grandRow="1" outline="0" collapsedLevelsAreSubtotals="1" axis="axisCol" fieldPosition="0">
        <references count="1">
          <reference field="1" count="1" selected="0">
            <x v="0"/>
          </reference>
        </references>
      </pivotArea>
    </format>
    <format dxfId="0">
      <pivotArea collapsedLevelsAreSubtotals="1" fieldPosition="0">
        <references count="2">
          <reference field="0" count="1">
            <x v="2"/>
          </reference>
          <reference field="1" count="1" selected="0">
            <x v="0"/>
          </reference>
        </references>
      </pivotArea>
    </format>
  </formats>
  <chartFormats count="8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3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3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4F69D89-5395-4504-A1A1-D70C5A2F32DE}" name="Tablo2" displayName="Tablo2" ref="A2:E7" totalsRowShown="0" tableBorderDxfId="12">
  <autoFilter ref="A2:E7" xr:uid="{D4F69D89-5395-4504-A1A1-D70C5A2F32DE}"/>
  <tableColumns count="5">
    <tableColumn id="1" xr3:uid="{6E25FEA1-87F6-4DFA-86BE-F711C47197C2}" name="Sütun1" dataDxfId="11"/>
    <tableColumn id="2" xr3:uid="{1B119FA7-991A-444B-AD51-0886AE0D0C84}" name="İstanbul "/>
    <tableColumn id="3" xr3:uid="{AF9EAAB7-A237-489A-86AD-10A9385B34B0}" name="Ankara"/>
    <tableColumn id="4" xr3:uid="{6FE5E5F2-A549-4125-997E-B1D5B2EBBF54}" name="Bursa"/>
    <tableColumn id="5" xr3:uid="{F8E45591-1D5D-45B4-AC58-C8CB6C49FE0F}" name="İzmi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C2252-BC85-4538-AF4F-E4CF4A9E2662}">
  <dimension ref="A1:H14"/>
  <sheetViews>
    <sheetView workbookViewId="0">
      <selection sqref="A1:H11"/>
    </sheetView>
  </sheetViews>
  <sheetFormatPr defaultRowHeight="15" x14ac:dyDescent="0.25"/>
  <cols>
    <col min="1" max="1" width="9.42578125" customWidth="1"/>
    <col min="2" max="2" width="17.140625" customWidth="1"/>
    <col min="3" max="3" width="8.5703125" bestFit="1" customWidth="1"/>
    <col min="4" max="4" width="12.42578125" customWidth="1"/>
    <col min="5" max="5" width="11.140625" bestFit="1" customWidth="1"/>
    <col min="6" max="6" width="14" bestFit="1" customWidth="1"/>
    <col min="7" max="7" width="15.7109375" bestFit="1" customWidth="1"/>
    <col min="8" max="8" width="20.42578125" bestFit="1" customWidth="1"/>
    <col min="10" max="10" width="10.140625" bestFit="1" customWidth="1"/>
    <col min="11" max="11" width="7" bestFit="1" customWidth="1"/>
    <col min="12" max="12" width="7.28515625" bestFit="1" customWidth="1"/>
    <col min="13" max="13" width="7" bestFit="1" customWidth="1"/>
    <col min="14" max="14" width="8.28515625" bestFit="1" customWidth="1"/>
  </cols>
  <sheetData>
    <row r="1" spans="1:8" ht="27" customHeight="1" thickBo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</row>
    <row r="2" spans="1:8" ht="15.75" thickBot="1" x14ac:dyDescent="0.3">
      <c r="A2" s="3">
        <v>46023</v>
      </c>
      <c r="B2" s="2" t="s">
        <v>8</v>
      </c>
      <c r="C2" s="2" t="s">
        <v>9</v>
      </c>
      <c r="D2" s="2" t="s">
        <v>10</v>
      </c>
      <c r="E2" s="4">
        <v>45</v>
      </c>
      <c r="F2" s="5">
        <v>2500</v>
      </c>
      <c r="G2" s="5">
        <v>1800</v>
      </c>
      <c r="H2" s="5">
        <v>5000</v>
      </c>
    </row>
    <row r="3" spans="1:8" ht="15.75" thickBot="1" x14ac:dyDescent="0.3">
      <c r="A3" s="3">
        <v>46023</v>
      </c>
      <c r="B3" s="2" t="s">
        <v>11</v>
      </c>
      <c r="C3" s="2" t="s">
        <v>12</v>
      </c>
      <c r="D3" s="2" t="s">
        <v>13</v>
      </c>
      <c r="E3" s="4">
        <v>12</v>
      </c>
      <c r="F3" s="5">
        <v>5000</v>
      </c>
      <c r="G3" s="5">
        <v>3200</v>
      </c>
      <c r="H3" s="5">
        <v>4500</v>
      </c>
    </row>
    <row r="4" spans="1:8" ht="15.75" thickBot="1" x14ac:dyDescent="0.3">
      <c r="A4" s="3">
        <v>46024</v>
      </c>
      <c r="B4" s="2" t="s">
        <v>14</v>
      </c>
      <c r="C4" s="2" t="s">
        <v>15</v>
      </c>
      <c r="D4" s="2" t="s">
        <v>16</v>
      </c>
      <c r="E4" s="4">
        <v>85</v>
      </c>
      <c r="F4" s="4">
        <v>450</v>
      </c>
      <c r="G4" s="4">
        <v>180</v>
      </c>
      <c r="H4" s="5">
        <v>3200</v>
      </c>
    </row>
    <row r="5" spans="1:8" ht="15.75" thickBot="1" x14ac:dyDescent="0.3">
      <c r="A5" s="3">
        <v>46024</v>
      </c>
      <c r="B5" s="2" t="s">
        <v>8</v>
      </c>
      <c r="C5" s="2" t="s">
        <v>17</v>
      </c>
      <c r="D5" s="2" t="s">
        <v>10</v>
      </c>
      <c r="E5" s="4">
        <v>30</v>
      </c>
      <c r="F5" s="5">
        <v>3000</v>
      </c>
      <c r="G5" s="5">
        <v>2100</v>
      </c>
      <c r="H5" s="5">
        <v>6000</v>
      </c>
    </row>
    <row r="6" spans="1:8" ht="15.75" thickBot="1" x14ac:dyDescent="0.3">
      <c r="A6" s="3">
        <v>46025</v>
      </c>
      <c r="B6" s="2" t="s">
        <v>18</v>
      </c>
      <c r="C6" s="2" t="s">
        <v>19</v>
      </c>
      <c r="D6" s="2" t="s">
        <v>20</v>
      </c>
      <c r="E6" s="4">
        <v>210</v>
      </c>
      <c r="F6" s="4">
        <v>120</v>
      </c>
      <c r="G6" s="4">
        <v>65</v>
      </c>
      <c r="H6" s="5">
        <v>2800</v>
      </c>
    </row>
    <row r="7" spans="1:8" ht="15.75" thickBot="1" x14ac:dyDescent="0.3">
      <c r="A7" s="3">
        <v>46025</v>
      </c>
      <c r="B7" s="2" t="s">
        <v>11</v>
      </c>
      <c r="C7" s="2" t="s">
        <v>12</v>
      </c>
      <c r="D7" s="2" t="s">
        <v>16</v>
      </c>
      <c r="E7" s="4">
        <v>60</v>
      </c>
      <c r="F7" s="4">
        <v>550</v>
      </c>
      <c r="G7" s="4">
        <v>220</v>
      </c>
      <c r="H7" s="5">
        <v>4000</v>
      </c>
    </row>
    <row r="8" spans="1:8" ht="15.75" thickBot="1" x14ac:dyDescent="0.3">
      <c r="A8" s="3">
        <v>46026</v>
      </c>
      <c r="B8" s="2" t="s">
        <v>8</v>
      </c>
      <c r="C8" s="2" t="s">
        <v>9</v>
      </c>
      <c r="D8" s="2" t="s">
        <v>13</v>
      </c>
      <c r="E8" s="4">
        <v>8</v>
      </c>
      <c r="F8" s="5">
        <v>8500</v>
      </c>
      <c r="G8" s="5">
        <v>5500</v>
      </c>
      <c r="H8" s="5">
        <v>5500</v>
      </c>
    </row>
    <row r="9" spans="1:8" ht="15.75" thickBot="1" x14ac:dyDescent="0.3">
      <c r="A9" s="3">
        <v>46026</v>
      </c>
      <c r="B9" s="2" t="s">
        <v>14</v>
      </c>
      <c r="C9" s="2" t="s">
        <v>15</v>
      </c>
      <c r="D9" s="2" t="s">
        <v>10</v>
      </c>
      <c r="E9" s="4">
        <v>25</v>
      </c>
      <c r="F9" s="5">
        <v>2800</v>
      </c>
      <c r="G9" s="5">
        <v>1950</v>
      </c>
      <c r="H9" s="5">
        <v>3500</v>
      </c>
    </row>
    <row r="10" spans="1:8" ht="15.75" thickBot="1" x14ac:dyDescent="0.3">
      <c r="A10" s="3">
        <v>46027</v>
      </c>
      <c r="B10" s="2" t="s">
        <v>18</v>
      </c>
      <c r="C10" s="2" t="s">
        <v>19</v>
      </c>
      <c r="D10" s="2" t="s">
        <v>16</v>
      </c>
      <c r="E10" s="4">
        <v>110</v>
      </c>
      <c r="F10" s="4">
        <v>400</v>
      </c>
      <c r="G10" s="4">
        <v>160</v>
      </c>
      <c r="H10" s="5">
        <v>3000</v>
      </c>
    </row>
    <row r="11" spans="1:8" ht="15.75" thickBot="1" x14ac:dyDescent="0.3">
      <c r="A11" s="3">
        <v>46027</v>
      </c>
      <c r="B11" s="2" t="s">
        <v>8</v>
      </c>
      <c r="C11" s="2" t="s">
        <v>17</v>
      </c>
      <c r="D11" s="2" t="s">
        <v>20</v>
      </c>
      <c r="E11" s="4">
        <v>340</v>
      </c>
      <c r="F11" s="4">
        <v>95</v>
      </c>
      <c r="G11" s="4">
        <v>50</v>
      </c>
      <c r="H11" s="5">
        <v>5500</v>
      </c>
    </row>
    <row r="13" spans="1:8" x14ac:dyDescent="0.25">
      <c r="B13" s="8"/>
    </row>
    <row r="14" spans="1:8" x14ac:dyDescent="0.25">
      <c r="D14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6D76B-0AC6-47CD-97C6-A7E20D054AB7}">
  <dimension ref="A1:F10"/>
  <sheetViews>
    <sheetView workbookViewId="0">
      <selection activeCell="B3" sqref="B3"/>
    </sheetView>
  </sheetViews>
  <sheetFormatPr defaultRowHeight="15" x14ac:dyDescent="0.25"/>
  <cols>
    <col min="1" max="7" width="17.7109375" customWidth="1"/>
  </cols>
  <sheetData>
    <row r="1" spans="1:6" ht="15.75" thickBot="1" x14ac:dyDescent="0.3">
      <c r="A1" t="s">
        <v>1</v>
      </c>
      <c r="B1" t="s">
        <v>3</v>
      </c>
      <c r="C1" t="s">
        <v>34</v>
      </c>
      <c r="D1" t="s">
        <v>35</v>
      </c>
      <c r="E1" t="s">
        <v>28</v>
      </c>
      <c r="F1" t="s">
        <v>32</v>
      </c>
    </row>
    <row r="2" spans="1:6" ht="15.75" thickBot="1" x14ac:dyDescent="0.3">
      <c r="A2" t="s">
        <v>8</v>
      </c>
      <c r="B2" t="s">
        <v>10</v>
      </c>
      <c r="C2" s="2">
        <v>202500</v>
      </c>
      <c r="D2">
        <v>155000</v>
      </c>
      <c r="E2">
        <f>C2-D2</f>
        <v>47500</v>
      </c>
      <c r="F2">
        <f>(E2/($C$2+$C$3+$C$4))*100</f>
        <v>15.686922060766181</v>
      </c>
    </row>
    <row r="3" spans="1:6" x14ac:dyDescent="0.25">
      <c r="A3" t="s">
        <v>8</v>
      </c>
      <c r="B3" t="s">
        <v>33</v>
      </c>
      <c r="C3">
        <v>68000</v>
      </c>
      <c r="D3">
        <v>49500</v>
      </c>
      <c r="E3">
        <f t="shared" ref="E3:E10" si="0">C3-D3</f>
        <v>18500</v>
      </c>
      <c r="F3">
        <f>(E3/($C$2+$C$3+$C$4))*100</f>
        <v>6.1096433289299865</v>
      </c>
    </row>
    <row r="4" spans="1:6" x14ac:dyDescent="0.25">
      <c r="A4" t="s">
        <v>8</v>
      </c>
      <c r="B4" t="s">
        <v>20</v>
      </c>
      <c r="C4">
        <v>32300</v>
      </c>
      <c r="D4">
        <v>22500</v>
      </c>
      <c r="E4">
        <f t="shared" si="0"/>
        <v>9800</v>
      </c>
      <c r="F4">
        <f>(E4/($C$2+$C$3+$C$4))*100</f>
        <v>3.2364597093791283</v>
      </c>
    </row>
    <row r="5" spans="1:6" x14ac:dyDescent="0.25">
      <c r="A5" t="s">
        <v>11</v>
      </c>
      <c r="B5" t="s">
        <v>33</v>
      </c>
      <c r="C5">
        <v>60000</v>
      </c>
      <c r="D5">
        <v>42900</v>
      </c>
      <c r="E5">
        <f t="shared" si="0"/>
        <v>17100</v>
      </c>
      <c r="F5">
        <f>(E5/($C$5+$C$6))*100</f>
        <v>18.387096774193548</v>
      </c>
    </row>
    <row r="6" spans="1:6" x14ac:dyDescent="0.25">
      <c r="A6" t="s">
        <v>11</v>
      </c>
      <c r="B6" t="s">
        <v>16</v>
      </c>
      <c r="C6">
        <v>33000</v>
      </c>
      <c r="D6">
        <v>17200</v>
      </c>
      <c r="E6">
        <f t="shared" si="0"/>
        <v>15800</v>
      </c>
      <c r="F6">
        <f>(E6/($C$5+$C$6))*100</f>
        <v>16.989247311827956</v>
      </c>
    </row>
    <row r="7" spans="1:6" x14ac:dyDescent="0.25">
      <c r="A7" t="s">
        <v>18</v>
      </c>
      <c r="B7" t="s">
        <v>16</v>
      </c>
      <c r="C7">
        <v>44000</v>
      </c>
      <c r="D7">
        <v>20600</v>
      </c>
      <c r="E7">
        <f t="shared" si="0"/>
        <v>23400</v>
      </c>
      <c r="F7">
        <f>(E7/($C$7+$C$8))*100</f>
        <v>33.815028901734109</v>
      </c>
    </row>
    <row r="8" spans="1:6" x14ac:dyDescent="0.25">
      <c r="A8" t="s">
        <v>18</v>
      </c>
      <c r="B8" t="s">
        <v>20</v>
      </c>
      <c r="C8">
        <v>25200</v>
      </c>
      <c r="D8">
        <v>16450</v>
      </c>
      <c r="E8">
        <f t="shared" si="0"/>
        <v>8750</v>
      </c>
      <c r="F8">
        <f>(E8/($C$7+$C$8))*100</f>
        <v>12.644508670520233</v>
      </c>
    </row>
    <row r="9" spans="1:6" x14ac:dyDescent="0.25">
      <c r="A9" t="s">
        <v>14</v>
      </c>
      <c r="B9" t="s">
        <v>10</v>
      </c>
      <c r="C9">
        <v>70000</v>
      </c>
      <c r="D9">
        <v>52250</v>
      </c>
      <c r="E9">
        <f t="shared" si="0"/>
        <v>17750</v>
      </c>
      <c r="F9">
        <f>(E9/($C$9+$C$10))*100</f>
        <v>16.397228637413395</v>
      </c>
    </row>
    <row r="10" spans="1:6" x14ac:dyDescent="0.25">
      <c r="A10" t="s">
        <v>14</v>
      </c>
      <c r="B10" t="s">
        <v>16</v>
      </c>
      <c r="C10">
        <v>38250</v>
      </c>
      <c r="D10">
        <v>18500</v>
      </c>
      <c r="E10">
        <f t="shared" si="0"/>
        <v>19750</v>
      </c>
      <c r="F10">
        <f>(E10/($C$9+$C$10))*100</f>
        <v>18.244803695150118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94B3A-80E3-47A3-BD20-0D7B7C6AB838}">
  <dimension ref="A1:P23"/>
  <sheetViews>
    <sheetView workbookViewId="0">
      <selection activeCell="A20" sqref="A20:B23"/>
    </sheetView>
  </sheetViews>
  <sheetFormatPr defaultRowHeight="15" x14ac:dyDescent="0.25"/>
  <cols>
    <col min="1" max="1" width="17.5703125" bestFit="1" customWidth="1"/>
    <col min="2" max="2" width="7.42578125" bestFit="1" customWidth="1"/>
    <col min="3" max="3" width="8.5703125" bestFit="1" customWidth="1"/>
    <col min="4" max="4" width="9.5703125" bestFit="1" customWidth="1"/>
    <col min="5" max="5" width="11.140625" bestFit="1" customWidth="1"/>
    <col min="6" max="6" width="14" bestFit="1" customWidth="1"/>
    <col min="7" max="7" width="15.7109375" bestFit="1" customWidth="1"/>
    <col min="8" max="8" width="20.42578125" bestFit="1" customWidth="1"/>
    <col min="10" max="10" width="18" bestFit="1" customWidth="1"/>
  </cols>
  <sheetData>
    <row r="1" spans="1:16" ht="15.75" thickBot="1" x14ac:dyDescent="0.3">
      <c r="A1" t="s">
        <v>25</v>
      </c>
      <c r="F1" s="2"/>
      <c r="G1" s="2"/>
      <c r="H1" s="1"/>
    </row>
    <row r="2" spans="1:16" ht="15.75" thickBot="1" x14ac:dyDescent="0.3">
      <c r="B2" s="2" t="s">
        <v>8</v>
      </c>
      <c r="C2" s="2" t="s">
        <v>11</v>
      </c>
      <c r="D2" s="2" t="s">
        <v>18</v>
      </c>
      <c r="E2" s="2" t="s">
        <v>14</v>
      </c>
      <c r="F2" s="5"/>
      <c r="G2" s="5"/>
      <c r="H2" s="5"/>
    </row>
    <row r="3" spans="1:16" ht="15.75" thickBot="1" x14ac:dyDescent="0.3">
      <c r="A3" s="2" t="s">
        <v>10</v>
      </c>
      <c r="B3" s="2">
        <v>202500</v>
      </c>
      <c r="C3" s="2"/>
      <c r="D3" s="2"/>
      <c r="E3" s="2">
        <v>70000</v>
      </c>
      <c r="F3" s="5"/>
      <c r="G3" s="5"/>
      <c r="H3" s="5"/>
    </row>
    <row r="4" spans="1:16" ht="15.75" thickBot="1" x14ac:dyDescent="0.3">
      <c r="A4" s="2" t="s">
        <v>13</v>
      </c>
      <c r="B4" s="2">
        <v>68000</v>
      </c>
      <c r="C4" s="2">
        <v>60000</v>
      </c>
      <c r="D4" s="2"/>
      <c r="E4" s="2"/>
      <c r="F4" s="4"/>
      <c r="G4" s="4"/>
      <c r="H4" s="5"/>
    </row>
    <row r="5" spans="1:16" ht="15.75" thickBot="1" x14ac:dyDescent="0.3">
      <c r="A5" s="2" t="s">
        <v>16</v>
      </c>
      <c r="B5" s="2"/>
      <c r="C5" s="2">
        <v>33000</v>
      </c>
      <c r="D5" s="2">
        <v>44000</v>
      </c>
      <c r="E5" s="2">
        <v>38250</v>
      </c>
      <c r="F5" s="5"/>
      <c r="G5" s="5"/>
      <c r="H5" s="5"/>
    </row>
    <row r="6" spans="1:16" ht="15.75" thickBot="1" x14ac:dyDescent="0.3">
      <c r="A6" s="2" t="s">
        <v>20</v>
      </c>
      <c r="B6" s="10">
        <v>32300</v>
      </c>
      <c r="C6" s="10"/>
      <c r="D6" s="10">
        <v>25200</v>
      </c>
      <c r="E6" s="10"/>
      <c r="F6" s="4"/>
      <c r="G6" s="4"/>
      <c r="H6" s="5"/>
    </row>
    <row r="7" spans="1:16" ht="15.75" thickBot="1" x14ac:dyDescent="0.3">
      <c r="B7" s="11">
        <v>302800</v>
      </c>
      <c r="C7" s="11">
        <v>93000</v>
      </c>
      <c r="D7" s="11">
        <v>69200</v>
      </c>
      <c r="E7" s="11">
        <v>108250</v>
      </c>
      <c r="F7" s="4"/>
      <c r="G7" s="4"/>
      <c r="H7" s="5"/>
    </row>
    <row r="8" spans="1:16" ht="15.75" thickBot="1" x14ac:dyDescent="0.3">
      <c r="A8" s="3"/>
      <c r="B8" s="2"/>
      <c r="C8" s="2"/>
      <c r="D8" s="2"/>
      <c r="E8" s="4"/>
      <c r="F8" s="5"/>
      <c r="G8" s="5"/>
      <c r="H8" s="5"/>
      <c r="M8" s="2"/>
      <c r="N8" s="2"/>
      <c r="O8" s="2"/>
      <c r="P8" s="2"/>
    </row>
    <row r="9" spans="1:16" ht="15.75" thickBot="1" x14ac:dyDescent="0.3">
      <c r="A9" s="3"/>
      <c r="B9" s="2"/>
      <c r="C9" s="2"/>
      <c r="D9" s="2"/>
      <c r="E9" s="4"/>
      <c r="F9" s="5"/>
      <c r="G9" s="5"/>
      <c r="H9" s="5"/>
      <c r="M9" s="2"/>
      <c r="N9" s="2"/>
      <c r="O9" s="2"/>
      <c r="P9" s="2"/>
    </row>
    <row r="10" spans="1:16" ht="15.75" thickBot="1" x14ac:dyDescent="0.3">
      <c r="A10" s="3"/>
      <c r="B10" s="2"/>
      <c r="C10" s="2"/>
      <c r="D10" s="2"/>
      <c r="E10" s="4"/>
      <c r="F10" s="4"/>
      <c r="G10" s="4"/>
      <c r="H10" s="5"/>
      <c r="M10" s="2"/>
      <c r="N10" s="2"/>
      <c r="O10" s="2"/>
      <c r="P10" s="2"/>
    </row>
    <row r="11" spans="1:16" ht="15.75" thickBot="1" x14ac:dyDescent="0.3">
      <c r="A11" s="3" t="s">
        <v>27</v>
      </c>
      <c r="B11" s="2"/>
      <c r="C11" s="2"/>
      <c r="D11" s="2"/>
      <c r="E11" s="4"/>
      <c r="F11" s="4"/>
      <c r="G11" s="4"/>
      <c r="H11" s="5"/>
      <c r="M11" s="2"/>
      <c r="N11" s="2"/>
      <c r="O11" s="2"/>
      <c r="P11" s="2"/>
    </row>
    <row r="12" spans="1:16" ht="15.75" thickBot="1" x14ac:dyDescent="0.3">
      <c r="B12" t="s">
        <v>9</v>
      </c>
      <c r="C12" t="s">
        <v>17</v>
      </c>
      <c r="D12" t="s">
        <v>12</v>
      </c>
      <c r="E12" t="s">
        <v>15</v>
      </c>
      <c r="F12" t="s">
        <v>19</v>
      </c>
    </row>
    <row r="13" spans="1:16" ht="15.75" thickBot="1" x14ac:dyDescent="0.3">
      <c r="A13" s="2" t="s">
        <v>10</v>
      </c>
      <c r="B13">
        <v>112500</v>
      </c>
      <c r="C13">
        <v>90000</v>
      </c>
      <c r="E13">
        <v>70000</v>
      </c>
    </row>
    <row r="14" spans="1:16" ht="15.75" thickBot="1" x14ac:dyDescent="0.3">
      <c r="A14" s="2" t="s">
        <v>13</v>
      </c>
      <c r="B14">
        <v>68000</v>
      </c>
      <c r="D14">
        <v>60000</v>
      </c>
    </row>
    <row r="15" spans="1:16" ht="15.75" thickBot="1" x14ac:dyDescent="0.3">
      <c r="A15" s="2" t="s">
        <v>16</v>
      </c>
      <c r="D15">
        <v>33000</v>
      </c>
      <c r="E15">
        <v>38250</v>
      </c>
      <c r="F15">
        <v>44000</v>
      </c>
    </row>
    <row r="16" spans="1:16" ht="15.75" thickBot="1" x14ac:dyDescent="0.3">
      <c r="A16" s="2" t="s">
        <v>20</v>
      </c>
      <c r="C16">
        <v>32300</v>
      </c>
      <c r="F16">
        <v>25200</v>
      </c>
    </row>
    <row r="17" spans="1:6" x14ac:dyDescent="0.25">
      <c r="B17" s="12">
        <v>180500</v>
      </c>
      <c r="C17" s="12">
        <v>122300</v>
      </c>
      <c r="D17" s="12">
        <v>93000</v>
      </c>
      <c r="E17" s="12">
        <v>108250</v>
      </c>
      <c r="F17" s="12">
        <v>69200</v>
      </c>
    </row>
    <row r="20" spans="1:6" x14ac:dyDescent="0.25">
      <c r="A20" s="7" t="s">
        <v>11</v>
      </c>
      <c r="B20">
        <v>2</v>
      </c>
    </row>
    <row r="21" spans="1:6" x14ac:dyDescent="0.25">
      <c r="A21" s="7" t="s">
        <v>18</v>
      </c>
      <c r="B21">
        <v>2</v>
      </c>
    </row>
    <row r="22" spans="1:6" x14ac:dyDescent="0.25">
      <c r="A22" s="7" t="s">
        <v>8</v>
      </c>
      <c r="B22">
        <v>3</v>
      </c>
    </row>
    <row r="23" spans="1:6" x14ac:dyDescent="0.25">
      <c r="A23" s="7" t="s">
        <v>14</v>
      </c>
      <c r="B23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C3B4A-F3AD-4801-BD19-CC39CF5454C0}">
  <dimension ref="A1:H16"/>
  <sheetViews>
    <sheetView workbookViewId="0">
      <selection activeCell="D10" sqref="D10"/>
    </sheetView>
  </sheetViews>
  <sheetFormatPr defaultRowHeight="15" x14ac:dyDescent="0.25"/>
  <cols>
    <col min="1" max="1" width="13.28515625" bestFit="1" customWidth="1"/>
    <col min="2" max="2" width="10.85546875" customWidth="1"/>
    <col min="3" max="3" width="9.140625" customWidth="1"/>
    <col min="4" max="4" width="9.5703125" bestFit="1" customWidth="1"/>
    <col min="5" max="5" width="11.140625" bestFit="1" customWidth="1"/>
    <col min="6" max="6" width="14" bestFit="1" customWidth="1"/>
    <col min="7" max="7" width="15.7109375" bestFit="1" customWidth="1"/>
    <col min="8" max="8" width="20.42578125" bestFit="1" customWidth="1"/>
  </cols>
  <sheetData>
    <row r="1" spans="1:8" ht="15.75" thickBot="1" x14ac:dyDescent="0.3">
      <c r="F1" s="2"/>
      <c r="G1" s="2"/>
      <c r="H1" s="1"/>
    </row>
    <row r="2" spans="1:8" ht="15.75" thickBot="1" x14ac:dyDescent="0.3">
      <c r="A2" t="s">
        <v>31</v>
      </c>
      <c r="B2" t="s">
        <v>26</v>
      </c>
      <c r="C2" t="s">
        <v>11</v>
      </c>
      <c r="D2" t="s">
        <v>18</v>
      </c>
      <c r="E2" t="s">
        <v>14</v>
      </c>
      <c r="F2" s="13"/>
      <c r="G2" s="5"/>
      <c r="H2" s="5"/>
    </row>
    <row r="3" spans="1:8" ht="15.75" thickBot="1" x14ac:dyDescent="0.3">
      <c r="A3" s="2" t="s">
        <v>10</v>
      </c>
      <c r="B3">
        <v>155000</v>
      </c>
      <c r="E3">
        <v>52250</v>
      </c>
      <c r="F3" s="13"/>
      <c r="G3" s="5"/>
      <c r="H3" s="5"/>
    </row>
    <row r="4" spans="1:8" ht="15.75" thickBot="1" x14ac:dyDescent="0.3">
      <c r="A4" s="2" t="s">
        <v>13</v>
      </c>
      <c r="B4">
        <v>49500</v>
      </c>
      <c r="C4">
        <v>42900</v>
      </c>
      <c r="F4" s="14"/>
      <c r="G4" s="4"/>
      <c r="H4" s="5"/>
    </row>
    <row r="5" spans="1:8" ht="15.75" thickBot="1" x14ac:dyDescent="0.3">
      <c r="A5" s="2" t="s">
        <v>16</v>
      </c>
      <c r="C5">
        <v>17200</v>
      </c>
      <c r="D5">
        <v>20600</v>
      </c>
      <c r="E5">
        <v>18500</v>
      </c>
      <c r="F5" s="13"/>
      <c r="G5" s="5"/>
      <c r="H5" s="5"/>
    </row>
    <row r="6" spans="1:8" ht="15.75" thickBot="1" x14ac:dyDescent="0.3">
      <c r="A6" s="2" t="s">
        <v>20</v>
      </c>
      <c r="B6">
        <v>22500</v>
      </c>
      <c r="D6">
        <v>16450</v>
      </c>
      <c r="F6" s="14"/>
      <c r="G6" s="4"/>
      <c r="H6" s="5"/>
    </row>
    <row r="7" spans="1:8" ht="15.75" thickBot="1" x14ac:dyDescent="0.3">
      <c r="A7" t="s">
        <v>22</v>
      </c>
      <c r="B7" s="12">
        <v>227000</v>
      </c>
      <c r="C7" s="12">
        <v>60100</v>
      </c>
      <c r="D7" s="12">
        <v>37050</v>
      </c>
      <c r="E7" s="12">
        <v>70750</v>
      </c>
      <c r="F7" s="14"/>
      <c r="G7" s="4"/>
      <c r="H7" s="5"/>
    </row>
    <row r="8" spans="1:8" ht="15.75" thickBot="1" x14ac:dyDescent="0.3">
      <c r="A8" s="15"/>
      <c r="B8" s="16"/>
      <c r="C8" s="16"/>
      <c r="D8" s="16"/>
      <c r="E8" s="17"/>
      <c r="F8" s="5"/>
      <c r="G8" s="5"/>
      <c r="H8" s="5"/>
    </row>
    <row r="9" spans="1:8" ht="15.75" thickBot="1" x14ac:dyDescent="0.3">
      <c r="A9" s="3"/>
      <c r="B9" s="2"/>
      <c r="C9" s="2"/>
      <c r="D9" s="2"/>
      <c r="E9" s="4"/>
      <c r="F9" s="5"/>
      <c r="G9" s="5"/>
      <c r="H9" s="5"/>
    </row>
    <row r="10" spans="1:8" ht="15.75" thickBot="1" x14ac:dyDescent="0.3">
      <c r="A10" s="3"/>
      <c r="B10" s="2"/>
      <c r="C10" s="2"/>
      <c r="D10" s="2"/>
      <c r="E10" s="4"/>
      <c r="F10" s="4"/>
      <c r="G10" s="4"/>
      <c r="H10" s="5"/>
    </row>
    <row r="11" spans="1:8" ht="15.75" thickBot="1" x14ac:dyDescent="0.3">
      <c r="B11" t="s">
        <v>9</v>
      </c>
      <c r="C11" t="s">
        <v>17</v>
      </c>
      <c r="D11" t="s">
        <v>12</v>
      </c>
      <c r="E11" t="s">
        <v>15</v>
      </c>
      <c r="F11" t="s">
        <v>19</v>
      </c>
      <c r="G11" s="4"/>
      <c r="H11" s="5"/>
    </row>
    <row r="12" spans="1:8" ht="15.75" thickBot="1" x14ac:dyDescent="0.3">
      <c r="A12" s="2" t="s">
        <v>10</v>
      </c>
      <c r="B12">
        <v>86000</v>
      </c>
      <c r="C12">
        <v>69000</v>
      </c>
      <c r="E12">
        <v>52250</v>
      </c>
    </row>
    <row r="13" spans="1:8" ht="15.75" thickBot="1" x14ac:dyDescent="0.3">
      <c r="A13" s="2" t="s">
        <v>13</v>
      </c>
      <c r="B13">
        <v>49500</v>
      </c>
      <c r="D13">
        <v>42900</v>
      </c>
    </row>
    <row r="14" spans="1:8" ht="15.75" thickBot="1" x14ac:dyDescent="0.3">
      <c r="A14" s="2" t="s">
        <v>16</v>
      </c>
      <c r="D14">
        <v>17200</v>
      </c>
      <c r="E14">
        <v>18500</v>
      </c>
      <c r="F14">
        <v>20600</v>
      </c>
    </row>
    <row r="15" spans="1:8" ht="15.75" thickBot="1" x14ac:dyDescent="0.3">
      <c r="A15" s="2" t="s">
        <v>20</v>
      </c>
      <c r="C15">
        <v>22500</v>
      </c>
      <c r="F15">
        <v>16450</v>
      </c>
    </row>
    <row r="16" spans="1:8" x14ac:dyDescent="0.25">
      <c r="B16" s="12">
        <v>135500</v>
      </c>
      <c r="C16" s="12">
        <v>91500</v>
      </c>
      <c r="D16" s="12">
        <v>60100</v>
      </c>
      <c r="E16" s="12">
        <v>70750</v>
      </c>
      <c r="F16" s="12">
        <v>37050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665FC-A3D6-4EA2-B7B3-810DBB912646}">
  <dimension ref="A1:H16"/>
  <sheetViews>
    <sheetView workbookViewId="0">
      <selection activeCell="G5" sqref="G5"/>
    </sheetView>
  </sheetViews>
  <sheetFormatPr defaultRowHeight="15" x14ac:dyDescent="0.25"/>
  <cols>
    <col min="2" max="2" width="7.42578125" bestFit="1" customWidth="1"/>
    <col min="3" max="3" width="8.5703125" bestFit="1" customWidth="1"/>
    <col min="4" max="4" width="9.5703125" bestFit="1" customWidth="1"/>
    <col min="5" max="5" width="11.140625" bestFit="1" customWidth="1"/>
    <col min="6" max="6" width="14" bestFit="1" customWidth="1"/>
    <col min="7" max="7" width="15.7109375" bestFit="1" customWidth="1"/>
    <col min="8" max="8" width="20.42578125" bestFit="1" customWidth="1"/>
  </cols>
  <sheetData>
    <row r="1" spans="1:8" ht="15.75" thickBot="1" x14ac:dyDescent="0.3">
      <c r="A1" t="s">
        <v>28</v>
      </c>
      <c r="F1" s="2"/>
      <c r="G1" s="2"/>
      <c r="H1" s="1"/>
    </row>
    <row r="2" spans="1:8" ht="15.75" thickBot="1" x14ac:dyDescent="0.3">
      <c r="B2" t="s">
        <v>8</v>
      </c>
      <c r="C2" t="s">
        <v>11</v>
      </c>
      <c r="D2" t="s">
        <v>24</v>
      </c>
      <c r="E2" t="s">
        <v>14</v>
      </c>
      <c r="F2" s="5"/>
      <c r="G2" s="5"/>
      <c r="H2" s="5"/>
    </row>
    <row r="3" spans="1:8" ht="15.75" thickBot="1" x14ac:dyDescent="0.3">
      <c r="A3" s="2" t="s">
        <v>10</v>
      </c>
      <c r="B3">
        <v>47500</v>
      </c>
      <c r="E3">
        <v>17750</v>
      </c>
      <c r="F3" s="5"/>
      <c r="G3" s="5"/>
      <c r="H3" s="5"/>
    </row>
    <row r="4" spans="1:8" ht="15.75" thickBot="1" x14ac:dyDescent="0.3">
      <c r="A4" s="2" t="s">
        <v>13</v>
      </c>
      <c r="B4">
        <v>18500</v>
      </c>
      <c r="C4">
        <v>17100</v>
      </c>
      <c r="F4" s="4"/>
      <c r="G4" s="4"/>
      <c r="H4" s="5"/>
    </row>
    <row r="5" spans="1:8" ht="15.75" thickBot="1" x14ac:dyDescent="0.3">
      <c r="A5" s="2" t="s">
        <v>16</v>
      </c>
      <c r="C5">
        <v>15800</v>
      </c>
      <c r="D5">
        <v>23400</v>
      </c>
      <c r="E5">
        <v>19750</v>
      </c>
      <c r="F5" s="5"/>
      <c r="G5" s="5"/>
      <c r="H5" s="5"/>
    </row>
    <row r="6" spans="1:8" ht="15.75" thickBot="1" x14ac:dyDescent="0.3">
      <c r="A6" s="2" t="s">
        <v>20</v>
      </c>
      <c r="B6">
        <v>9800</v>
      </c>
      <c r="D6">
        <v>8750</v>
      </c>
      <c r="F6" s="4"/>
      <c r="G6" s="4"/>
      <c r="H6" s="5"/>
    </row>
    <row r="7" spans="1:8" ht="15.75" thickBot="1" x14ac:dyDescent="0.3">
      <c r="B7" s="12">
        <v>75800</v>
      </c>
      <c r="C7" s="12">
        <v>32900</v>
      </c>
      <c r="D7" s="12">
        <v>32150</v>
      </c>
      <c r="E7" s="12">
        <v>37500</v>
      </c>
      <c r="F7" s="4"/>
      <c r="G7" s="4"/>
      <c r="H7" s="5"/>
    </row>
    <row r="8" spans="1:8" ht="15.75" thickBot="1" x14ac:dyDescent="0.3">
      <c r="A8" s="3"/>
      <c r="B8" s="2"/>
      <c r="C8" s="2"/>
      <c r="D8" s="2"/>
      <c r="E8" s="4"/>
      <c r="F8" s="5"/>
      <c r="G8" s="5"/>
      <c r="H8" s="5"/>
    </row>
    <row r="9" spans="1:8" ht="15.75" thickBot="1" x14ac:dyDescent="0.3">
      <c r="A9" s="3"/>
      <c r="B9" s="2"/>
      <c r="C9" s="2"/>
      <c r="D9" s="2"/>
      <c r="E9" s="4"/>
      <c r="F9" s="5"/>
      <c r="G9" s="5"/>
      <c r="H9" s="5"/>
    </row>
    <row r="10" spans="1:8" ht="15.75" thickBot="1" x14ac:dyDescent="0.3">
      <c r="A10" t="s">
        <v>28</v>
      </c>
      <c r="H10" s="5"/>
    </row>
    <row r="11" spans="1:8" ht="15.75" thickBot="1" x14ac:dyDescent="0.3">
      <c r="B11" t="s">
        <v>9</v>
      </c>
      <c r="C11" t="s">
        <v>17</v>
      </c>
      <c r="D11" t="s">
        <v>12</v>
      </c>
      <c r="E11" t="s">
        <v>15</v>
      </c>
      <c r="F11" t="s">
        <v>19</v>
      </c>
      <c r="H11" s="5"/>
    </row>
    <row r="12" spans="1:8" ht="15.75" thickBot="1" x14ac:dyDescent="0.3">
      <c r="A12" s="2" t="s">
        <v>10</v>
      </c>
      <c r="B12">
        <v>26500</v>
      </c>
      <c r="C12">
        <v>21000</v>
      </c>
      <c r="E12">
        <v>17750</v>
      </c>
    </row>
    <row r="13" spans="1:8" ht="15.75" thickBot="1" x14ac:dyDescent="0.3">
      <c r="A13" s="2" t="s">
        <v>13</v>
      </c>
      <c r="B13">
        <v>18500</v>
      </c>
      <c r="D13">
        <v>17100</v>
      </c>
    </row>
    <row r="14" spans="1:8" ht="15.75" thickBot="1" x14ac:dyDescent="0.3">
      <c r="A14" s="2" t="s">
        <v>16</v>
      </c>
      <c r="D14">
        <v>15800</v>
      </c>
      <c r="E14">
        <v>19750</v>
      </c>
      <c r="F14">
        <v>23400</v>
      </c>
    </row>
    <row r="15" spans="1:8" ht="15.75" thickBot="1" x14ac:dyDescent="0.3">
      <c r="A15" s="2" t="s">
        <v>20</v>
      </c>
      <c r="C15">
        <v>9800</v>
      </c>
      <c r="F15">
        <v>8750</v>
      </c>
    </row>
    <row r="16" spans="1:8" x14ac:dyDescent="0.25">
      <c r="B16" s="12">
        <v>45000</v>
      </c>
      <c r="C16" s="12">
        <v>30800</v>
      </c>
      <c r="D16" s="12">
        <v>32900</v>
      </c>
      <c r="E16" s="12">
        <v>37500</v>
      </c>
      <c r="F16" s="12">
        <v>32150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99F28-8D22-46C2-A2C1-63A33537B8D0}">
  <dimension ref="A1:H14"/>
  <sheetViews>
    <sheetView workbookViewId="0">
      <selection activeCell="F26" sqref="F26"/>
    </sheetView>
  </sheetViews>
  <sheetFormatPr defaultRowHeight="15" x14ac:dyDescent="0.25"/>
  <cols>
    <col min="2" max="2" width="7.42578125" bestFit="1" customWidth="1"/>
    <col min="3" max="3" width="8.5703125" bestFit="1" customWidth="1"/>
    <col min="4" max="4" width="9.5703125" bestFit="1" customWidth="1"/>
    <col min="5" max="5" width="11.140625" bestFit="1" customWidth="1"/>
    <col min="6" max="6" width="14" bestFit="1" customWidth="1"/>
    <col min="7" max="7" width="15.7109375" bestFit="1" customWidth="1"/>
    <col min="8" max="8" width="20.42578125" bestFit="1" customWidth="1"/>
  </cols>
  <sheetData>
    <row r="1" spans="1:8" ht="15.75" thickBot="1" x14ac:dyDescent="0.3">
      <c r="A1" t="s">
        <v>29</v>
      </c>
      <c r="F1" s="2"/>
      <c r="G1" s="2"/>
      <c r="H1" s="1"/>
    </row>
    <row r="2" spans="1:8" ht="15.75" thickBot="1" x14ac:dyDescent="0.3">
      <c r="B2" t="s">
        <v>8</v>
      </c>
      <c r="C2" t="s">
        <v>11</v>
      </c>
      <c r="D2" t="s">
        <v>18</v>
      </c>
      <c r="E2" t="s">
        <v>14</v>
      </c>
      <c r="F2" s="5"/>
      <c r="G2" s="5"/>
      <c r="H2" s="5"/>
    </row>
    <row r="3" spans="1:8" ht="15.75" thickBot="1" x14ac:dyDescent="0.3">
      <c r="A3" s="2" t="s">
        <v>10</v>
      </c>
      <c r="B3">
        <v>15.686922060766181</v>
      </c>
      <c r="E3">
        <v>16.397228637413395</v>
      </c>
      <c r="F3" s="5"/>
      <c r="G3" s="5"/>
      <c r="H3" s="5"/>
    </row>
    <row r="4" spans="1:8" ht="15.75" thickBot="1" x14ac:dyDescent="0.3">
      <c r="A4" s="2" t="s">
        <v>13</v>
      </c>
      <c r="B4">
        <v>6.1096433289299865</v>
      </c>
      <c r="C4">
        <v>18.387096774193548</v>
      </c>
      <c r="F4" s="4"/>
      <c r="G4" s="4"/>
      <c r="H4" s="5"/>
    </row>
    <row r="5" spans="1:8" ht="15.75" thickBot="1" x14ac:dyDescent="0.3">
      <c r="A5" s="2" t="s">
        <v>16</v>
      </c>
      <c r="C5">
        <v>16.989247311827956</v>
      </c>
      <c r="D5">
        <v>33.815028901734109</v>
      </c>
      <c r="E5">
        <v>18.244803695150118</v>
      </c>
      <c r="F5" s="5"/>
      <c r="G5" s="5"/>
      <c r="H5" s="5"/>
    </row>
    <row r="6" spans="1:8" ht="15.75" thickBot="1" x14ac:dyDescent="0.3">
      <c r="A6" s="2" t="s">
        <v>20</v>
      </c>
      <c r="B6">
        <v>3.2364597093791283</v>
      </c>
      <c r="D6">
        <v>12.644508670520233</v>
      </c>
      <c r="F6" s="4"/>
      <c r="G6" s="4"/>
      <c r="H6" s="5"/>
    </row>
    <row r="7" spans="1:8" ht="15.75" thickBot="1" x14ac:dyDescent="0.3">
      <c r="A7" s="3"/>
      <c r="B7" s="2"/>
      <c r="C7" s="2"/>
      <c r="D7" s="2"/>
      <c r="E7" s="4"/>
      <c r="F7" s="4"/>
      <c r="G7" s="4"/>
      <c r="H7" s="5"/>
    </row>
    <row r="8" spans="1:8" ht="15.75" thickBot="1" x14ac:dyDescent="0.3">
      <c r="A8" s="3"/>
      <c r="B8" s="2"/>
      <c r="C8" s="2"/>
      <c r="D8" s="2"/>
      <c r="E8" s="4"/>
      <c r="F8" s="5"/>
      <c r="G8" s="5"/>
      <c r="H8" s="5"/>
    </row>
    <row r="9" spans="1:8" ht="15.75" thickBot="1" x14ac:dyDescent="0.3">
      <c r="A9" s="3"/>
      <c r="B9" s="2"/>
      <c r="C9" s="2"/>
      <c r="D9" s="2"/>
      <c r="E9" s="4"/>
      <c r="F9" s="5"/>
      <c r="G9" s="5"/>
      <c r="H9" s="5"/>
    </row>
    <row r="10" spans="1:8" ht="15.75" thickBot="1" x14ac:dyDescent="0.3">
      <c r="B10" t="s">
        <v>9</v>
      </c>
      <c r="C10" t="s">
        <v>17</v>
      </c>
      <c r="D10" t="s">
        <v>12</v>
      </c>
      <c r="E10" t="s">
        <v>15</v>
      </c>
      <c r="F10" t="s">
        <v>19</v>
      </c>
      <c r="G10" s="4"/>
      <c r="H10" s="5"/>
    </row>
    <row r="11" spans="1:8" ht="15.75" thickBot="1" x14ac:dyDescent="0.3">
      <c r="A11" s="2" t="s">
        <v>10</v>
      </c>
      <c r="B11">
        <v>14.681440443213297</v>
      </c>
      <c r="C11">
        <v>17.170891251022077</v>
      </c>
      <c r="E11">
        <v>16.397228637413395</v>
      </c>
      <c r="G11" s="4"/>
      <c r="H11" s="5"/>
    </row>
    <row r="12" spans="1:8" ht="15.75" thickBot="1" x14ac:dyDescent="0.3">
      <c r="A12" s="2" t="s">
        <v>13</v>
      </c>
      <c r="B12">
        <v>10.249307479224377</v>
      </c>
      <c r="C12">
        <v>8.0130825838103021</v>
      </c>
      <c r="D12">
        <v>18.387096774193548</v>
      </c>
    </row>
    <row r="13" spans="1:8" ht="15.75" thickBot="1" x14ac:dyDescent="0.3">
      <c r="A13" s="2" t="s">
        <v>16</v>
      </c>
      <c r="D13">
        <v>16.989247311827956</v>
      </c>
      <c r="E13">
        <v>18.244803695150118</v>
      </c>
      <c r="F13">
        <v>33.815028901734109</v>
      </c>
    </row>
    <row r="14" spans="1:8" ht="15.75" thickBot="1" x14ac:dyDescent="0.3">
      <c r="A14" s="2" t="s">
        <v>20</v>
      </c>
      <c r="F14">
        <v>12.644508670520233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87BE3-B977-42E2-9827-FAD26CBC2D1A}">
  <dimension ref="A9:F61"/>
  <sheetViews>
    <sheetView topLeftCell="A9" workbookViewId="0">
      <selection activeCell="S7" sqref="S7"/>
    </sheetView>
  </sheetViews>
  <sheetFormatPr defaultRowHeight="15" x14ac:dyDescent="0.25"/>
  <cols>
    <col min="1" max="1" width="16.28515625" bestFit="1" customWidth="1"/>
    <col min="2" max="2" width="10.85546875" bestFit="1" customWidth="1"/>
    <col min="3" max="3" width="18.7109375" bestFit="1" customWidth="1"/>
    <col min="4" max="4" width="8" bestFit="1" customWidth="1"/>
    <col min="5" max="5" width="7" bestFit="1" customWidth="1"/>
    <col min="6" max="7" width="13.5703125" bestFit="1" customWidth="1"/>
    <col min="8" max="8" width="16.42578125" bestFit="1" customWidth="1"/>
    <col min="9" max="9" width="18.7109375" bestFit="1" customWidth="1"/>
    <col min="10" max="10" width="16.42578125" bestFit="1" customWidth="1"/>
    <col min="11" max="11" width="18.7109375" bestFit="1" customWidth="1"/>
    <col min="12" max="12" width="24.28515625" bestFit="1" customWidth="1"/>
    <col min="13" max="13" width="26.5703125" bestFit="1" customWidth="1"/>
    <col min="14" max="14" width="6" bestFit="1" customWidth="1"/>
    <col min="15" max="15" width="14.140625" bestFit="1" customWidth="1"/>
    <col min="16" max="16" width="13.5703125" bestFit="1" customWidth="1"/>
  </cols>
  <sheetData>
    <row r="9" spans="1:6" x14ac:dyDescent="0.25">
      <c r="A9" s="6" t="s">
        <v>23</v>
      </c>
      <c r="B9" s="6" t="s">
        <v>30</v>
      </c>
    </row>
    <row r="10" spans="1:6" x14ac:dyDescent="0.25">
      <c r="A10" s="6" t="s">
        <v>21</v>
      </c>
      <c r="B10" t="s">
        <v>10</v>
      </c>
      <c r="C10" t="s">
        <v>20</v>
      </c>
      <c r="D10" t="s">
        <v>13</v>
      </c>
      <c r="E10" t="s">
        <v>16</v>
      </c>
      <c r="F10" t="s">
        <v>22</v>
      </c>
    </row>
    <row r="11" spans="1:6" x14ac:dyDescent="0.25">
      <c r="A11" s="7" t="s">
        <v>11</v>
      </c>
      <c r="D11">
        <v>12</v>
      </c>
      <c r="E11">
        <v>60</v>
      </c>
      <c r="F11">
        <v>72</v>
      </c>
    </row>
    <row r="12" spans="1:6" x14ac:dyDescent="0.25">
      <c r="A12" s="7" t="s">
        <v>18</v>
      </c>
      <c r="C12">
        <v>210</v>
      </c>
      <c r="E12">
        <v>110</v>
      </c>
      <c r="F12">
        <v>320</v>
      </c>
    </row>
    <row r="13" spans="1:6" x14ac:dyDescent="0.25">
      <c r="A13" s="7" t="s">
        <v>8</v>
      </c>
      <c r="B13">
        <v>75</v>
      </c>
      <c r="C13">
        <v>340</v>
      </c>
      <c r="D13">
        <v>8</v>
      </c>
      <c r="F13">
        <v>423</v>
      </c>
    </row>
    <row r="14" spans="1:6" x14ac:dyDescent="0.25">
      <c r="A14" s="7" t="s">
        <v>14</v>
      </c>
      <c r="B14">
        <v>25</v>
      </c>
      <c r="E14">
        <v>85</v>
      </c>
      <c r="F14">
        <v>110</v>
      </c>
    </row>
    <row r="15" spans="1:6" x14ac:dyDescent="0.25">
      <c r="A15" s="7" t="s">
        <v>22</v>
      </c>
      <c r="B15">
        <v>100</v>
      </c>
      <c r="C15">
        <v>550</v>
      </c>
      <c r="D15">
        <v>20</v>
      </c>
      <c r="E15">
        <v>255</v>
      </c>
      <c r="F15">
        <v>925</v>
      </c>
    </row>
    <row r="17" spans="1:3" x14ac:dyDescent="0.25">
      <c r="A17" s="6" t="s">
        <v>21</v>
      </c>
      <c r="B17" t="s">
        <v>36</v>
      </c>
      <c r="C17" t="s">
        <v>37</v>
      </c>
    </row>
    <row r="18" spans="1:3" x14ac:dyDescent="0.25">
      <c r="A18" s="7" t="s">
        <v>11</v>
      </c>
      <c r="B18">
        <v>93000</v>
      </c>
      <c r="C18">
        <v>60100</v>
      </c>
    </row>
    <row r="19" spans="1:3" x14ac:dyDescent="0.25">
      <c r="A19" s="7" t="s">
        <v>18</v>
      </c>
      <c r="B19">
        <v>69200</v>
      </c>
      <c r="C19">
        <v>37050</v>
      </c>
    </row>
    <row r="20" spans="1:3" x14ac:dyDescent="0.25">
      <c r="A20" s="7" t="s">
        <v>8</v>
      </c>
      <c r="B20">
        <v>302800</v>
      </c>
      <c r="C20">
        <v>227000</v>
      </c>
    </row>
    <row r="21" spans="1:3" x14ac:dyDescent="0.25">
      <c r="A21" s="7" t="s">
        <v>14</v>
      </c>
      <c r="B21">
        <v>108250</v>
      </c>
      <c r="C21">
        <v>70750</v>
      </c>
    </row>
    <row r="22" spans="1:3" x14ac:dyDescent="0.25">
      <c r="A22" s="7" t="s">
        <v>22</v>
      </c>
      <c r="B22">
        <v>573250</v>
      </c>
      <c r="C22">
        <v>394900</v>
      </c>
    </row>
    <row r="25" spans="1:3" x14ac:dyDescent="0.25">
      <c r="A25" s="6" t="s">
        <v>21</v>
      </c>
      <c r="B25" t="s">
        <v>37</v>
      </c>
    </row>
    <row r="26" spans="1:3" x14ac:dyDescent="0.25">
      <c r="A26" s="7" t="s">
        <v>10</v>
      </c>
      <c r="B26">
        <v>207250</v>
      </c>
    </row>
    <row r="27" spans="1:3" x14ac:dyDescent="0.25">
      <c r="A27" s="7" t="s">
        <v>20</v>
      </c>
      <c r="B27">
        <v>38950</v>
      </c>
    </row>
    <row r="28" spans="1:3" x14ac:dyDescent="0.25">
      <c r="A28" s="7" t="s">
        <v>33</v>
      </c>
      <c r="B28">
        <v>92400</v>
      </c>
    </row>
    <row r="29" spans="1:3" x14ac:dyDescent="0.25">
      <c r="A29" s="7" t="s">
        <v>16</v>
      </c>
      <c r="B29">
        <v>56300</v>
      </c>
    </row>
    <row r="30" spans="1:3" x14ac:dyDescent="0.25">
      <c r="A30" s="7" t="s">
        <v>22</v>
      </c>
      <c r="B30">
        <v>394900</v>
      </c>
    </row>
    <row r="33" spans="1:6" x14ac:dyDescent="0.25">
      <c r="A33" s="6" t="s">
        <v>21</v>
      </c>
      <c r="B33" t="s">
        <v>38</v>
      </c>
    </row>
    <row r="34" spans="1:6" x14ac:dyDescent="0.25">
      <c r="A34" s="7" t="s">
        <v>11</v>
      </c>
      <c r="B34">
        <v>32900</v>
      </c>
    </row>
    <row r="35" spans="1:6" x14ac:dyDescent="0.25">
      <c r="A35" s="7" t="s">
        <v>18</v>
      </c>
      <c r="B35">
        <v>32150</v>
      </c>
    </row>
    <row r="36" spans="1:6" x14ac:dyDescent="0.25">
      <c r="A36" s="7" t="s">
        <v>8</v>
      </c>
      <c r="B36">
        <v>75800</v>
      </c>
    </row>
    <row r="37" spans="1:6" x14ac:dyDescent="0.25">
      <c r="A37" s="7" t="s">
        <v>14</v>
      </c>
      <c r="B37">
        <v>37500</v>
      </c>
    </row>
    <row r="38" spans="1:6" x14ac:dyDescent="0.25">
      <c r="A38" s="7" t="s">
        <v>22</v>
      </c>
      <c r="B38">
        <v>178350</v>
      </c>
    </row>
    <row r="40" spans="1:6" x14ac:dyDescent="0.25">
      <c r="A40" s="6" t="s">
        <v>39</v>
      </c>
      <c r="B40" s="6" t="s">
        <v>30</v>
      </c>
    </row>
    <row r="41" spans="1:6" x14ac:dyDescent="0.25">
      <c r="A41" s="6" t="s">
        <v>21</v>
      </c>
      <c r="B41" t="s">
        <v>10</v>
      </c>
      <c r="C41" t="s">
        <v>20</v>
      </c>
      <c r="D41" t="s">
        <v>33</v>
      </c>
      <c r="E41" t="s">
        <v>16</v>
      </c>
      <c r="F41" t="s">
        <v>22</v>
      </c>
    </row>
    <row r="42" spans="1:6" x14ac:dyDescent="0.25">
      <c r="A42" s="7" t="s">
        <v>11</v>
      </c>
      <c r="D42" s="18">
        <v>18.387096774193548</v>
      </c>
      <c r="E42" s="18">
        <v>16.989247311827956</v>
      </c>
      <c r="F42">
        <v>35.376344086021504</v>
      </c>
    </row>
    <row r="43" spans="1:6" x14ac:dyDescent="0.25">
      <c r="A43" s="7" t="s">
        <v>18</v>
      </c>
      <c r="C43" s="18">
        <v>12.644508670520233</v>
      </c>
      <c r="E43" s="18">
        <v>33.815028901734109</v>
      </c>
      <c r="F43">
        <v>46.459537572254341</v>
      </c>
    </row>
    <row r="44" spans="1:6" x14ac:dyDescent="0.25">
      <c r="A44" s="7" t="s">
        <v>8</v>
      </c>
      <c r="B44" s="18">
        <v>15.686922060766181</v>
      </c>
      <c r="C44" s="18">
        <v>3.2364597093791283</v>
      </c>
      <c r="D44" s="18">
        <v>6.1096433289299865</v>
      </c>
      <c r="F44">
        <v>25.033025099075296</v>
      </c>
    </row>
    <row r="45" spans="1:6" x14ac:dyDescent="0.25">
      <c r="A45" s="7" t="s">
        <v>14</v>
      </c>
      <c r="B45" s="18">
        <v>16.397228637413395</v>
      </c>
      <c r="E45" s="18">
        <v>18.244803695150118</v>
      </c>
      <c r="F45">
        <v>34.642032332563517</v>
      </c>
    </row>
    <row r="46" spans="1:6" x14ac:dyDescent="0.25">
      <c r="A46" s="7" t="s">
        <v>22</v>
      </c>
      <c r="B46" s="18">
        <v>32.084150698179577</v>
      </c>
      <c r="C46">
        <v>15.880968379899361</v>
      </c>
      <c r="D46">
        <v>24.496740103123535</v>
      </c>
      <c r="E46">
        <v>69.049079908712173</v>
      </c>
      <c r="F46">
        <v>141.51093908991464</v>
      </c>
    </row>
    <row r="48" spans="1:6" x14ac:dyDescent="0.25">
      <c r="A48" s="6" t="s">
        <v>21</v>
      </c>
      <c r="B48" t="s">
        <v>40</v>
      </c>
    </row>
    <row r="49" spans="1:2" x14ac:dyDescent="0.25">
      <c r="A49" s="7" t="s">
        <v>11</v>
      </c>
      <c r="B49">
        <v>2</v>
      </c>
    </row>
    <row r="50" spans="1:2" x14ac:dyDescent="0.25">
      <c r="A50" s="7" t="s">
        <v>18</v>
      </c>
      <c r="B50">
        <v>2</v>
      </c>
    </row>
    <row r="51" spans="1:2" x14ac:dyDescent="0.25">
      <c r="A51" s="7" t="s">
        <v>8</v>
      </c>
      <c r="B51">
        <v>3</v>
      </c>
    </row>
    <row r="52" spans="1:2" x14ac:dyDescent="0.25">
      <c r="A52" s="7" t="s">
        <v>14</v>
      </c>
      <c r="B52">
        <v>2</v>
      </c>
    </row>
    <row r="53" spans="1:2" x14ac:dyDescent="0.25">
      <c r="A53" s="7" t="s">
        <v>22</v>
      </c>
      <c r="B53">
        <v>9</v>
      </c>
    </row>
    <row r="55" spans="1:2" x14ac:dyDescent="0.25">
      <c r="A55" s="6" t="s">
        <v>21</v>
      </c>
      <c r="B55" t="s">
        <v>23</v>
      </c>
    </row>
    <row r="56" spans="1:2" x14ac:dyDescent="0.25">
      <c r="A56" s="9">
        <v>46023</v>
      </c>
      <c r="B56">
        <v>57</v>
      </c>
    </row>
    <row r="57" spans="1:2" x14ac:dyDescent="0.25">
      <c r="A57" s="9">
        <v>46024</v>
      </c>
      <c r="B57">
        <v>115</v>
      </c>
    </row>
    <row r="58" spans="1:2" x14ac:dyDescent="0.25">
      <c r="A58" s="9">
        <v>46025</v>
      </c>
      <c r="B58">
        <v>270</v>
      </c>
    </row>
    <row r="59" spans="1:2" x14ac:dyDescent="0.25">
      <c r="A59" s="9">
        <v>46026</v>
      </c>
      <c r="B59">
        <v>33</v>
      </c>
    </row>
    <row r="60" spans="1:2" x14ac:dyDescent="0.25">
      <c r="A60" s="9">
        <v>46027</v>
      </c>
      <c r="B60">
        <v>450</v>
      </c>
    </row>
    <row r="61" spans="1:2" x14ac:dyDescent="0.25">
      <c r="A61" s="9" t="s">
        <v>22</v>
      </c>
      <c r="B61">
        <v>925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E6FAC-04FD-4DFA-9F86-FCB0BF0218A9}">
  <dimension ref="A1"/>
  <sheetViews>
    <sheetView showGridLines="0" tabSelected="1" workbookViewId="0">
      <selection activeCell="AD2" sqref="AD2"/>
    </sheetView>
  </sheetViews>
  <sheetFormatPr defaultRowHeight="15" x14ac:dyDescent="0.25"/>
  <cols>
    <col min="1" max="16384" width="9.140625" style="19"/>
  </cols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8</vt:i4>
      </vt:variant>
    </vt:vector>
  </HeadingPairs>
  <TitlesOfParts>
    <vt:vector size="8" baseType="lpstr">
      <vt:lpstr>ana tablo</vt:lpstr>
      <vt:lpstr>yan tablo</vt:lpstr>
      <vt:lpstr>gelir</vt:lpstr>
      <vt:lpstr>toplam maliyet</vt:lpstr>
      <vt:lpstr>kar</vt:lpstr>
      <vt:lpstr>kar marjı</vt:lpstr>
      <vt:lpstr>pivot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JASMIN DENIZ KAN</dc:creator>
  <cp:lastModifiedBy>JASMIN DENIZ KAN</cp:lastModifiedBy>
  <dcterms:created xsi:type="dcterms:W3CDTF">2026-01-11T17:12:36Z</dcterms:created>
  <dcterms:modified xsi:type="dcterms:W3CDTF">2026-01-12T21:15:10Z</dcterms:modified>
</cp:coreProperties>
</file>